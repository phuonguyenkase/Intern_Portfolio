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Finance\"/>
    </mc:Choice>
  </mc:AlternateContent>
  <xr:revisionPtr revIDLastSave="0" documentId="13_ncr:1_{2DF631AF-077F-4CF2-842E-FD6C1AA570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1" r:id="rId1"/>
    <sheet name="Daily_Returns" sheetId="2" r:id="rId2"/>
    <sheet name="Trades_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3" i="1"/>
  <c r="E10" i="1"/>
  <c r="E9" i="1"/>
  <c r="D10" i="1"/>
  <c r="D9" i="1"/>
  <c r="C10" i="1"/>
  <c r="C9" i="1"/>
  <c r="B9" i="1"/>
  <c r="B10" i="1"/>
</calcChain>
</file>

<file path=xl/sharedStrings.xml><?xml version="1.0" encoding="utf-8"?>
<sst xmlns="http://schemas.openxmlformats.org/spreadsheetml/2006/main" count="253" uniqueCount="110">
  <si>
    <t>Metric</t>
  </si>
  <si>
    <t>Initial Capital</t>
  </si>
  <si>
    <t>Final NAV</t>
  </si>
  <si>
    <t>Profit/Loss</t>
  </si>
  <si>
    <t>Max Drawdown (%)</t>
  </si>
  <si>
    <t>Max Loss (%)</t>
  </si>
  <si>
    <t>Date</t>
  </si>
  <si>
    <t>NAV</t>
  </si>
  <si>
    <t>Symbol</t>
  </si>
  <si>
    <t>Weight</t>
  </si>
  <si>
    <t>Beta</t>
  </si>
  <si>
    <t>Entry_Date</t>
  </si>
  <si>
    <t>Exit_Date</t>
  </si>
  <si>
    <t>Return_Pct</t>
  </si>
  <si>
    <t>Highest_Return_Pct</t>
  </si>
  <si>
    <t>Exit_Reason</t>
  </si>
  <si>
    <t>Stop Loss</t>
  </si>
  <si>
    <t>Take Profit</t>
  </si>
  <si>
    <t>Keep Position</t>
  </si>
  <si>
    <t>Return at the end (%)</t>
  </si>
  <si>
    <t>AGP</t>
  </si>
  <si>
    <t>Win Rate (%) - Return &gt; 0</t>
  </si>
  <si>
    <t>Take Profit (%)</t>
  </si>
  <si>
    <t>Stop Loss (%)</t>
  </si>
  <si>
    <t>CAP</t>
  </si>
  <si>
    <t>ST8</t>
  </si>
  <si>
    <t>DBD</t>
  </si>
  <si>
    <t>DGC</t>
  </si>
  <si>
    <t>2022Q1</t>
  </si>
  <si>
    <t>Q1/2022</t>
  </si>
  <si>
    <t>AMP</t>
  </si>
  <si>
    <t>2022-01-04</t>
  </si>
  <si>
    <t>2022-02-18</t>
  </si>
  <si>
    <t>CEO</t>
  </si>
  <si>
    <t>2022-01-17</t>
  </si>
  <si>
    <t>DIG</t>
  </si>
  <si>
    <t>2022-01-18</t>
  </si>
  <si>
    <t>FCN</t>
  </si>
  <si>
    <t>2022-01-12</t>
  </si>
  <si>
    <t>HAG</t>
  </si>
  <si>
    <t>HAR</t>
  </si>
  <si>
    <t>2022-01-14</t>
  </si>
  <si>
    <t>PTI</t>
  </si>
  <si>
    <t>2022-03-31</t>
  </si>
  <si>
    <t>SAM</t>
  </si>
  <si>
    <t>STB</t>
  </si>
  <si>
    <t>TLD</t>
  </si>
  <si>
    <t>TPB</t>
  </si>
  <si>
    <t>TTN</t>
  </si>
  <si>
    <t>TVS</t>
  </si>
  <si>
    <t>2022-01-13</t>
  </si>
  <si>
    <t>VPG</t>
  </si>
  <si>
    <t>2022Q2</t>
  </si>
  <si>
    <t>Q2/2022</t>
  </si>
  <si>
    <t>AGM</t>
  </si>
  <si>
    <t>2022-04-01</t>
  </si>
  <si>
    <t>2022-04-20</t>
  </si>
  <si>
    <t>BAF</t>
  </si>
  <si>
    <t>2022-04-25</t>
  </si>
  <si>
    <t>BIC</t>
  </si>
  <si>
    <t>2022-05-12</t>
  </si>
  <si>
    <t>2022-06-30</t>
  </si>
  <si>
    <t>2022-05-13</t>
  </si>
  <si>
    <t>DXG</t>
  </si>
  <si>
    <t>2022-04-12</t>
  </si>
  <si>
    <t>EIB</t>
  </si>
  <si>
    <t>2022-04-19</t>
  </si>
  <si>
    <t>PGI</t>
  </si>
  <si>
    <t>SJS</t>
  </si>
  <si>
    <t>SKG</t>
  </si>
  <si>
    <t>2022-04-21</t>
  </si>
  <si>
    <t>VGC</t>
  </si>
  <si>
    <t>2022-04-08</t>
  </si>
  <si>
    <t>VLA</t>
  </si>
  <si>
    <t>2022-05-16</t>
  </si>
  <si>
    <t>2022Q3</t>
  </si>
  <si>
    <t>2022-07-01</t>
  </si>
  <si>
    <t>2022-07-18</t>
  </si>
  <si>
    <t>FIR</t>
  </si>
  <si>
    <t>2022-09-30</t>
  </si>
  <si>
    <t>KDC</t>
  </si>
  <si>
    <t>NCT</t>
  </si>
  <si>
    <t>PHS</t>
  </si>
  <si>
    <t>2022-09-23</t>
  </si>
  <si>
    <t>PNJ</t>
  </si>
  <si>
    <t>2022-07-15</t>
  </si>
  <si>
    <t>2022-07-14</t>
  </si>
  <si>
    <t>2022-07-20</t>
  </si>
  <si>
    <t>TLG</t>
  </si>
  <si>
    <t>2022-08-26</t>
  </si>
  <si>
    <t>VSH</t>
  </si>
  <si>
    <t>2022-07-06</t>
  </si>
  <si>
    <t>VUA</t>
  </si>
  <si>
    <t>2022Q4</t>
  </si>
  <si>
    <t>2022-10-03</t>
  </si>
  <si>
    <t>2022-12-30</t>
  </si>
  <si>
    <t>BTH</t>
  </si>
  <si>
    <t>2022-10-06</t>
  </si>
  <si>
    <t>CHP</t>
  </si>
  <si>
    <t>2022-10-27</t>
  </si>
  <si>
    <t>NVL</t>
  </si>
  <si>
    <t>2022-11-02</t>
  </si>
  <si>
    <t>2022-11-30</t>
  </si>
  <si>
    <t>SAB</t>
  </si>
  <si>
    <t>SMB</t>
  </si>
  <si>
    <t>TRA</t>
  </si>
  <si>
    <t>2022-11-29</t>
  </si>
  <si>
    <t>Q4/2022</t>
  </si>
  <si>
    <t>Q3/2022</t>
  </si>
  <si>
    <t>#chặn 20% ăn lời hơi cao so với thị trường downtrend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</si>
</sst>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4" fontId="0" fillId="0" borderId="0" xfId="1" applyNumberFormat="1" applyFont="1"/>
    <xf numFmtId="164" fontId="1" fillId="0" borderId="1" xfId="1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10" fontId="1" fillId="0" borderId="1" xfId="2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0" fontId="0" fillId="0" borderId="0" xfId="2" applyNumberFormat="1" applyFont="1"/>
    <xf numFmtId="10" fontId="0" fillId="0" borderId="1" xfId="2" applyNumberFormat="1" applyFont="1" applyBorder="1"/>
    <xf numFmtId="43" fontId="0" fillId="0" borderId="0" xfId="0" applyNumberFormat="1"/>
    <xf numFmtId="164" fontId="5" fillId="0" borderId="1" xfId="1" applyNumberFormat="1" applyFont="1" applyBorder="1"/>
    <xf numFmtId="14" fontId="0" fillId="2" borderId="0" xfId="0" applyNumberFormat="1" applyFill="1"/>
    <xf numFmtId="164" fontId="0" fillId="2" borderId="0" xfId="1" applyNumberFormat="1" applyFont="1" applyFill="1"/>
    <xf numFmtId="0" fontId="1" fillId="0" borderId="2" xfId="0" applyFont="1" applyBorder="1" applyAlignment="1">
      <alignment horizontal="center" vertical="top"/>
    </xf>
    <xf numFmtId="0" fontId="3" fillId="0" borderId="0" xfId="0" applyFont="1"/>
    <xf numFmtId="10" fontId="3" fillId="0" borderId="0" xfId="2" applyNumberFormat="1" applyFont="1"/>
    <xf numFmtId="10" fontId="6" fillId="0" borderId="0" xfId="2" applyNumberFormat="1" applyFont="1"/>
    <xf numFmtId="164" fontId="0" fillId="0" borderId="0" xfId="0" applyNumberFormat="1"/>
    <xf numFmtId="1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28"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ont>
        <color rgb="FF00B050"/>
      </font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ont>
        <color rgb="FF00B050"/>
      </font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ont>
        <b/>
        <i val="0"/>
        <color theme="5" tint="0.79998168889431442"/>
      </font>
      <fill>
        <patternFill>
          <bgColor theme="5" tint="-0.499984740745262"/>
        </patternFill>
      </fill>
    </dxf>
    <dxf>
      <fill>
        <patternFill>
          <bgColor rgb="FFFFFF00"/>
        </patternFill>
      </fill>
    </dxf>
    <dxf>
      <font>
        <b/>
        <i val="0"/>
        <color theme="5" tint="0.79998168889431442"/>
      </font>
      <fill>
        <patternFill>
          <bgColor theme="5" tint="-0.499984740745262"/>
        </patternFill>
      </fill>
    </dxf>
    <dxf>
      <fill>
        <patternFill>
          <bgColor rgb="FFFFFF00"/>
        </patternFill>
      </fill>
    </dxf>
    <dxf>
      <font>
        <b/>
        <i val="0"/>
        <color theme="5" tint="0.79998168889431442"/>
      </font>
      <fill>
        <patternFill>
          <bgColor theme="5" tint="-0.499984740745262"/>
        </patternFill>
      </fill>
    </dxf>
    <dxf>
      <fill>
        <patternFill>
          <bgColor rgb="FFFFFF00"/>
        </patternFill>
      </fill>
    </dxf>
    <dxf>
      <font>
        <b/>
        <i val="0"/>
        <color theme="5" tint="0.79998168889431442"/>
      </font>
      <fill>
        <patternFill>
          <bgColor theme="5" tint="-0.499984740745262"/>
        </patternFill>
      </fill>
    </dxf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Daily_Returns!$B$1</c:f>
              <c:strCache>
                <c:ptCount val="1"/>
                <c:pt idx="0">
                  <c:v> NAV 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0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3EF-4CC2-ABA1-E984CD896B1A}"/>
              </c:ext>
            </c:extLst>
          </c:dPt>
          <c:dPt>
            <c:idx val="57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3EF-4CC2-ABA1-E984CD896B1A}"/>
              </c:ext>
            </c:extLst>
          </c:dPt>
          <c:dPt>
            <c:idx val="58"/>
            <c:marker>
              <c:symbol val="circle"/>
              <c:size val="2"/>
              <c:spPr>
                <a:solidFill>
                  <a:schemeClr val="accent1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A3EF-4CC2-ABA1-E984CD896B1A}"/>
              </c:ext>
            </c:extLst>
          </c:dPt>
          <c:dPt>
            <c:idx val="111"/>
            <c:marker>
              <c:symbol val="circle"/>
              <c:size val="2"/>
              <c:spPr>
                <a:solidFill>
                  <a:schemeClr val="accent1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A3EF-4CC2-ABA1-E984CD896B1A}"/>
              </c:ext>
            </c:extLst>
          </c:dPt>
          <c:dPt>
            <c:idx val="119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A3EF-4CC2-ABA1-E984CD896B1A}"/>
              </c:ext>
            </c:extLst>
          </c:dPt>
          <c:dPt>
            <c:idx val="131"/>
            <c:marker>
              <c:symbol val="circle"/>
              <c:size val="2"/>
              <c:spPr>
                <a:solidFill>
                  <a:schemeClr val="accent1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A3EF-4CC2-ABA1-E984CD896B1A}"/>
              </c:ext>
            </c:extLst>
          </c:dPt>
          <c:dPt>
            <c:idx val="175"/>
            <c:marker>
              <c:symbol val="circle"/>
              <c:size val="2"/>
              <c:spPr>
                <a:solidFill>
                  <a:schemeClr val="accent1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A3EF-4CC2-ABA1-E984CD896B1A}"/>
              </c:ext>
            </c:extLst>
          </c:dPt>
          <c:dPt>
            <c:idx val="183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A3EF-4CC2-ABA1-E984CD896B1A}"/>
              </c:ext>
            </c:extLst>
          </c:dPt>
          <c:dPt>
            <c:idx val="241"/>
            <c:marker>
              <c:symbol val="circle"/>
              <c:size val="2"/>
              <c:spPr>
                <a:solidFill>
                  <a:schemeClr val="accent1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A3EF-4CC2-ABA1-E984CD896B1A}"/>
              </c:ext>
            </c:extLst>
          </c:dPt>
          <c:dPt>
            <c:idx val="249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A3EF-4CC2-ABA1-E984CD896B1A}"/>
              </c:ext>
            </c:extLst>
          </c:dPt>
          <c:cat>
            <c:numRef>
              <c:f>Daily_Returns!$A$2:$A$250</c:f>
              <c:numCache>
                <c:formatCode>m/d/yyyy</c:formatCode>
                <c:ptCount val="249"/>
                <c:pt idx="0">
                  <c:v>44565</c:v>
                </c:pt>
                <c:pt idx="1">
                  <c:v>44566</c:v>
                </c:pt>
                <c:pt idx="2">
                  <c:v>44567</c:v>
                </c:pt>
                <c:pt idx="3">
                  <c:v>44568</c:v>
                </c:pt>
                <c:pt idx="4">
                  <c:v>44571</c:v>
                </c:pt>
                <c:pt idx="5">
                  <c:v>44572</c:v>
                </c:pt>
                <c:pt idx="6">
                  <c:v>44573</c:v>
                </c:pt>
                <c:pt idx="7">
                  <c:v>44574</c:v>
                </c:pt>
                <c:pt idx="8">
                  <c:v>44575</c:v>
                </c:pt>
                <c:pt idx="9">
                  <c:v>44578</c:v>
                </c:pt>
                <c:pt idx="10">
                  <c:v>44579</c:v>
                </c:pt>
                <c:pt idx="11">
                  <c:v>44580</c:v>
                </c:pt>
                <c:pt idx="12">
                  <c:v>44581</c:v>
                </c:pt>
                <c:pt idx="13">
                  <c:v>44582</c:v>
                </c:pt>
                <c:pt idx="14">
                  <c:v>44585</c:v>
                </c:pt>
                <c:pt idx="15">
                  <c:v>44586</c:v>
                </c:pt>
                <c:pt idx="16">
                  <c:v>44587</c:v>
                </c:pt>
                <c:pt idx="17">
                  <c:v>44588</c:v>
                </c:pt>
                <c:pt idx="18">
                  <c:v>44589</c:v>
                </c:pt>
                <c:pt idx="19">
                  <c:v>44599</c:v>
                </c:pt>
                <c:pt idx="20">
                  <c:v>44600</c:v>
                </c:pt>
                <c:pt idx="21">
                  <c:v>44601</c:v>
                </c:pt>
                <c:pt idx="22">
                  <c:v>44602</c:v>
                </c:pt>
                <c:pt idx="23">
                  <c:v>44603</c:v>
                </c:pt>
                <c:pt idx="24">
                  <c:v>44606</c:v>
                </c:pt>
                <c:pt idx="25">
                  <c:v>44607</c:v>
                </c:pt>
                <c:pt idx="26">
                  <c:v>44608</c:v>
                </c:pt>
                <c:pt idx="27">
                  <c:v>44609</c:v>
                </c:pt>
                <c:pt idx="28">
                  <c:v>44610</c:v>
                </c:pt>
                <c:pt idx="29">
                  <c:v>44613</c:v>
                </c:pt>
                <c:pt idx="30">
                  <c:v>44614</c:v>
                </c:pt>
                <c:pt idx="31">
                  <c:v>44615</c:v>
                </c:pt>
                <c:pt idx="32">
                  <c:v>44616</c:v>
                </c:pt>
                <c:pt idx="33">
                  <c:v>44617</c:v>
                </c:pt>
                <c:pt idx="34">
                  <c:v>44620</c:v>
                </c:pt>
                <c:pt idx="35">
                  <c:v>44621</c:v>
                </c:pt>
                <c:pt idx="36">
                  <c:v>44622</c:v>
                </c:pt>
                <c:pt idx="37">
                  <c:v>44623</c:v>
                </c:pt>
                <c:pt idx="38">
                  <c:v>44624</c:v>
                </c:pt>
                <c:pt idx="39">
                  <c:v>44627</c:v>
                </c:pt>
                <c:pt idx="40">
                  <c:v>44628</c:v>
                </c:pt>
                <c:pt idx="41">
                  <c:v>44629</c:v>
                </c:pt>
                <c:pt idx="42">
                  <c:v>44630</c:v>
                </c:pt>
                <c:pt idx="43">
                  <c:v>44631</c:v>
                </c:pt>
                <c:pt idx="44">
                  <c:v>44634</c:v>
                </c:pt>
                <c:pt idx="45">
                  <c:v>44635</c:v>
                </c:pt>
                <c:pt idx="46">
                  <c:v>44636</c:v>
                </c:pt>
                <c:pt idx="47">
                  <c:v>44637</c:v>
                </c:pt>
                <c:pt idx="48">
                  <c:v>44638</c:v>
                </c:pt>
                <c:pt idx="49">
                  <c:v>44641</c:v>
                </c:pt>
                <c:pt idx="50">
                  <c:v>44642</c:v>
                </c:pt>
                <c:pt idx="51">
                  <c:v>44643</c:v>
                </c:pt>
                <c:pt idx="52">
                  <c:v>44644</c:v>
                </c:pt>
                <c:pt idx="53">
                  <c:v>44645</c:v>
                </c:pt>
                <c:pt idx="54">
                  <c:v>44648</c:v>
                </c:pt>
                <c:pt idx="55">
                  <c:v>44649</c:v>
                </c:pt>
                <c:pt idx="56">
                  <c:v>44650</c:v>
                </c:pt>
                <c:pt idx="57">
                  <c:v>44651</c:v>
                </c:pt>
                <c:pt idx="58">
                  <c:v>44652</c:v>
                </c:pt>
                <c:pt idx="59">
                  <c:v>44655</c:v>
                </c:pt>
                <c:pt idx="60">
                  <c:v>44656</c:v>
                </c:pt>
                <c:pt idx="61">
                  <c:v>44657</c:v>
                </c:pt>
                <c:pt idx="62">
                  <c:v>44658</c:v>
                </c:pt>
                <c:pt idx="63">
                  <c:v>44659</c:v>
                </c:pt>
                <c:pt idx="64">
                  <c:v>44663</c:v>
                </c:pt>
                <c:pt idx="65">
                  <c:v>44664</c:v>
                </c:pt>
                <c:pt idx="66">
                  <c:v>44665</c:v>
                </c:pt>
                <c:pt idx="67">
                  <c:v>44666</c:v>
                </c:pt>
                <c:pt idx="68">
                  <c:v>44669</c:v>
                </c:pt>
                <c:pt idx="69">
                  <c:v>44670</c:v>
                </c:pt>
                <c:pt idx="70">
                  <c:v>44671</c:v>
                </c:pt>
                <c:pt idx="71">
                  <c:v>44672</c:v>
                </c:pt>
                <c:pt idx="72">
                  <c:v>44673</c:v>
                </c:pt>
                <c:pt idx="73">
                  <c:v>44676</c:v>
                </c:pt>
                <c:pt idx="74">
                  <c:v>44677</c:v>
                </c:pt>
                <c:pt idx="75">
                  <c:v>44678</c:v>
                </c:pt>
                <c:pt idx="76">
                  <c:v>44679</c:v>
                </c:pt>
                <c:pt idx="77">
                  <c:v>44680</c:v>
                </c:pt>
                <c:pt idx="78">
                  <c:v>44685</c:v>
                </c:pt>
                <c:pt idx="79">
                  <c:v>44686</c:v>
                </c:pt>
                <c:pt idx="80">
                  <c:v>44687</c:v>
                </c:pt>
                <c:pt idx="81">
                  <c:v>44690</c:v>
                </c:pt>
                <c:pt idx="82">
                  <c:v>44691</c:v>
                </c:pt>
                <c:pt idx="83">
                  <c:v>44692</c:v>
                </c:pt>
                <c:pt idx="84">
                  <c:v>44693</c:v>
                </c:pt>
                <c:pt idx="85">
                  <c:v>44694</c:v>
                </c:pt>
                <c:pt idx="86">
                  <c:v>44697</c:v>
                </c:pt>
                <c:pt idx="87">
                  <c:v>44698</c:v>
                </c:pt>
                <c:pt idx="88">
                  <c:v>44699</c:v>
                </c:pt>
                <c:pt idx="89">
                  <c:v>44700</c:v>
                </c:pt>
                <c:pt idx="90">
                  <c:v>44701</c:v>
                </c:pt>
                <c:pt idx="91">
                  <c:v>44704</c:v>
                </c:pt>
                <c:pt idx="92">
                  <c:v>44705</c:v>
                </c:pt>
                <c:pt idx="93">
                  <c:v>44706</c:v>
                </c:pt>
                <c:pt idx="94">
                  <c:v>44707</c:v>
                </c:pt>
                <c:pt idx="95">
                  <c:v>44708</c:v>
                </c:pt>
                <c:pt idx="96">
                  <c:v>44711</c:v>
                </c:pt>
                <c:pt idx="97">
                  <c:v>44712</c:v>
                </c:pt>
                <c:pt idx="98">
                  <c:v>44713</c:v>
                </c:pt>
                <c:pt idx="99">
                  <c:v>44714</c:v>
                </c:pt>
                <c:pt idx="100">
                  <c:v>44715</c:v>
                </c:pt>
                <c:pt idx="101">
                  <c:v>44718</c:v>
                </c:pt>
                <c:pt idx="102">
                  <c:v>44719</c:v>
                </c:pt>
                <c:pt idx="103">
                  <c:v>44720</c:v>
                </c:pt>
                <c:pt idx="104">
                  <c:v>44721</c:v>
                </c:pt>
                <c:pt idx="105">
                  <c:v>44722</c:v>
                </c:pt>
                <c:pt idx="106">
                  <c:v>44725</c:v>
                </c:pt>
                <c:pt idx="107">
                  <c:v>44726</c:v>
                </c:pt>
                <c:pt idx="108">
                  <c:v>44727</c:v>
                </c:pt>
                <c:pt idx="109">
                  <c:v>44728</c:v>
                </c:pt>
                <c:pt idx="110">
                  <c:v>44729</c:v>
                </c:pt>
                <c:pt idx="111">
                  <c:v>44732</c:v>
                </c:pt>
                <c:pt idx="112">
                  <c:v>44733</c:v>
                </c:pt>
                <c:pt idx="113">
                  <c:v>44734</c:v>
                </c:pt>
                <c:pt idx="114">
                  <c:v>44735</c:v>
                </c:pt>
                <c:pt idx="115">
                  <c:v>44736</c:v>
                </c:pt>
                <c:pt idx="116">
                  <c:v>44739</c:v>
                </c:pt>
                <c:pt idx="117">
                  <c:v>44740</c:v>
                </c:pt>
                <c:pt idx="118">
                  <c:v>44741</c:v>
                </c:pt>
                <c:pt idx="119">
                  <c:v>44742</c:v>
                </c:pt>
                <c:pt idx="120">
                  <c:v>44743</c:v>
                </c:pt>
                <c:pt idx="121">
                  <c:v>44746</c:v>
                </c:pt>
                <c:pt idx="122">
                  <c:v>44747</c:v>
                </c:pt>
                <c:pt idx="123">
                  <c:v>44748</c:v>
                </c:pt>
                <c:pt idx="124">
                  <c:v>44749</c:v>
                </c:pt>
                <c:pt idx="125">
                  <c:v>44750</c:v>
                </c:pt>
                <c:pt idx="126">
                  <c:v>44753</c:v>
                </c:pt>
                <c:pt idx="127">
                  <c:v>44754</c:v>
                </c:pt>
                <c:pt idx="128">
                  <c:v>44755</c:v>
                </c:pt>
                <c:pt idx="129">
                  <c:v>44756</c:v>
                </c:pt>
                <c:pt idx="130">
                  <c:v>44757</c:v>
                </c:pt>
                <c:pt idx="131">
                  <c:v>44760</c:v>
                </c:pt>
                <c:pt idx="132">
                  <c:v>44761</c:v>
                </c:pt>
                <c:pt idx="133">
                  <c:v>44762</c:v>
                </c:pt>
                <c:pt idx="134">
                  <c:v>44763</c:v>
                </c:pt>
                <c:pt idx="135">
                  <c:v>44764</c:v>
                </c:pt>
                <c:pt idx="136">
                  <c:v>44767</c:v>
                </c:pt>
                <c:pt idx="137">
                  <c:v>44768</c:v>
                </c:pt>
                <c:pt idx="138">
                  <c:v>44769</c:v>
                </c:pt>
                <c:pt idx="139">
                  <c:v>44770</c:v>
                </c:pt>
                <c:pt idx="140">
                  <c:v>44771</c:v>
                </c:pt>
                <c:pt idx="141">
                  <c:v>44774</c:v>
                </c:pt>
                <c:pt idx="142">
                  <c:v>44775</c:v>
                </c:pt>
                <c:pt idx="143">
                  <c:v>44776</c:v>
                </c:pt>
                <c:pt idx="144">
                  <c:v>44777</c:v>
                </c:pt>
                <c:pt idx="145">
                  <c:v>44778</c:v>
                </c:pt>
                <c:pt idx="146">
                  <c:v>44781</c:v>
                </c:pt>
                <c:pt idx="147">
                  <c:v>44782</c:v>
                </c:pt>
                <c:pt idx="148">
                  <c:v>44783</c:v>
                </c:pt>
                <c:pt idx="149">
                  <c:v>44784</c:v>
                </c:pt>
                <c:pt idx="150">
                  <c:v>44785</c:v>
                </c:pt>
                <c:pt idx="151">
                  <c:v>44788</c:v>
                </c:pt>
                <c:pt idx="152">
                  <c:v>44789</c:v>
                </c:pt>
                <c:pt idx="153">
                  <c:v>44790</c:v>
                </c:pt>
                <c:pt idx="154">
                  <c:v>44791</c:v>
                </c:pt>
                <c:pt idx="155">
                  <c:v>44792</c:v>
                </c:pt>
                <c:pt idx="156">
                  <c:v>44795</c:v>
                </c:pt>
                <c:pt idx="157">
                  <c:v>44796</c:v>
                </c:pt>
                <c:pt idx="158">
                  <c:v>44797</c:v>
                </c:pt>
                <c:pt idx="159">
                  <c:v>44798</c:v>
                </c:pt>
                <c:pt idx="160">
                  <c:v>44799</c:v>
                </c:pt>
                <c:pt idx="161">
                  <c:v>44802</c:v>
                </c:pt>
                <c:pt idx="162">
                  <c:v>44803</c:v>
                </c:pt>
                <c:pt idx="163">
                  <c:v>44804</c:v>
                </c:pt>
                <c:pt idx="164">
                  <c:v>44809</c:v>
                </c:pt>
                <c:pt idx="165">
                  <c:v>44810</c:v>
                </c:pt>
                <c:pt idx="166">
                  <c:v>44811</c:v>
                </c:pt>
                <c:pt idx="167">
                  <c:v>44812</c:v>
                </c:pt>
                <c:pt idx="168">
                  <c:v>44813</c:v>
                </c:pt>
                <c:pt idx="169">
                  <c:v>44816</c:v>
                </c:pt>
                <c:pt idx="170">
                  <c:v>44817</c:v>
                </c:pt>
                <c:pt idx="171">
                  <c:v>44818</c:v>
                </c:pt>
                <c:pt idx="172">
                  <c:v>44819</c:v>
                </c:pt>
                <c:pt idx="173">
                  <c:v>44820</c:v>
                </c:pt>
                <c:pt idx="174">
                  <c:v>44823</c:v>
                </c:pt>
                <c:pt idx="175">
                  <c:v>44824</c:v>
                </c:pt>
                <c:pt idx="176">
                  <c:v>44825</c:v>
                </c:pt>
                <c:pt idx="177">
                  <c:v>44826</c:v>
                </c:pt>
                <c:pt idx="178">
                  <c:v>44827</c:v>
                </c:pt>
                <c:pt idx="179">
                  <c:v>44830</c:v>
                </c:pt>
                <c:pt idx="180">
                  <c:v>44831</c:v>
                </c:pt>
                <c:pt idx="181">
                  <c:v>44832</c:v>
                </c:pt>
                <c:pt idx="182">
                  <c:v>44833</c:v>
                </c:pt>
                <c:pt idx="183">
                  <c:v>44834</c:v>
                </c:pt>
                <c:pt idx="184">
                  <c:v>44837</c:v>
                </c:pt>
                <c:pt idx="185">
                  <c:v>44838</c:v>
                </c:pt>
                <c:pt idx="186">
                  <c:v>44839</c:v>
                </c:pt>
                <c:pt idx="187">
                  <c:v>44840</c:v>
                </c:pt>
                <c:pt idx="188">
                  <c:v>44841</c:v>
                </c:pt>
                <c:pt idx="189">
                  <c:v>44844</c:v>
                </c:pt>
                <c:pt idx="190">
                  <c:v>44845</c:v>
                </c:pt>
                <c:pt idx="191">
                  <c:v>44846</c:v>
                </c:pt>
                <c:pt idx="192">
                  <c:v>44847</c:v>
                </c:pt>
                <c:pt idx="193">
                  <c:v>44848</c:v>
                </c:pt>
                <c:pt idx="194">
                  <c:v>44851</c:v>
                </c:pt>
                <c:pt idx="195">
                  <c:v>44852</c:v>
                </c:pt>
                <c:pt idx="196">
                  <c:v>44853</c:v>
                </c:pt>
                <c:pt idx="197">
                  <c:v>44854</c:v>
                </c:pt>
                <c:pt idx="198">
                  <c:v>44855</c:v>
                </c:pt>
                <c:pt idx="199">
                  <c:v>44858</c:v>
                </c:pt>
                <c:pt idx="200">
                  <c:v>44859</c:v>
                </c:pt>
                <c:pt idx="201">
                  <c:v>44860</c:v>
                </c:pt>
                <c:pt idx="202">
                  <c:v>44861</c:v>
                </c:pt>
                <c:pt idx="203">
                  <c:v>44862</c:v>
                </c:pt>
                <c:pt idx="204">
                  <c:v>44865</c:v>
                </c:pt>
                <c:pt idx="205">
                  <c:v>44866</c:v>
                </c:pt>
                <c:pt idx="206">
                  <c:v>44867</c:v>
                </c:pt>
                <c:pt idx="207">
                  <c:v>44868</c:v>
                </c:pt>
                <c:pt idx="208">
                  <c:v>44869</c:v>
                </c:pt>
                <c:pt idx="209">
                  <c:v>44872</c:v>
                </c:pt>
                <c:pt idx="210">
                  <c:v>44873</c:v>
                </c:pt>
                <c:pt idx="211">
                  <c:v>44874</c:v>
                </c:pt>
                <c:pt idx="212">
                  <c:v>44875</c:v>
                </c:pt>
                <c:pt idx="213">
                  <c:v>44876</c:v>
                </c:pt>
                <c:pt idx="214">
                  <c:v>44879</c:v>
                </c:pt>
                <c:pt idx="215">
                  <c:v>44880</c:v>
                </c:pt>
                <c:pt idx="216">
                  <c:v>44881</c:v>
                </c:pt>
                <c:pt idx="217">
                  <c:v>44882</c:v>
                </c:pt>
                <c:pt idx="218">
                  <c:v>44883</c:v>
                </c:pt>
                <c:pt idx="219">
                  <c:v>44886</c:v>
                </c:pt>
                <c:pt idx="220">
                  <c:v>44887</c:v>
                </c:pt>
                <c:pt idx="221">
                  <c:v>44888</c:v>
                </c:pt>
                <c:pt idx="222">
                  <c:v>44889</c:v>
                </c:pt>
                <c:pt idx="223">
                  <c:v>44890</c:v>
                </c:pt>
                <c:pt idx="224">
                  <c:v>44893</c:v>
                </c:pt>
                <c:pt idx="225">
                  <c:v>44894</c:v>
                </c:pt>
                <c:pt idx="226">
                  <c:v>44895</c:v>
                </c:pt>
                <c:pt idx="227">
                  <c:v>44896</c:v>
                </c:pt>
                <c:pt idx="228">
                  <c:v>44897</c:v>
                </c:pt>
                <c:pt idx="229">
                  <c:v>44900</c:v>
                </c:pt>
                <c:pt idx="230">
                  <c:v>44901</c:v>
                </c:pt>
                <c:pt idx="231">
                  <c:v>44902</c:v>
                </c:pt>
                <c:pt idx="232">
                  <c:v>44903</c:v>
                </c:pt>
                <c:pt idx="233">
                  <c:v>44904</c:v>
                </c:pt>
                <c:pt idx="234">
                  <c:v>44907</c:v>
                </c:pt>
                <c:pt idx="235">
                  <c:v>44908</c:v>
                </c:pt>
                <c:pt idx="236">
                  <c:v>44909</c:v>
                </c:pt>
                <c:pt idx="237">
                  <c:v>44910</c:v>
                </c:pt>
                <c:pt idx="238">
                  <c:v>44911</c:v>
                </c:pt>
                <c:pt idx="239">
                  <c:v>44914</c:v>
                </c:pt>
                <c:pt idx="240">
                  <c:v>44915</c:v>
                </c:pt>
                <c:pt idx="241">
                  <c:v>44916</c:v>
                </c:pt>
                <c:pt idx="242">
                  <c:v>44917</c:v>
                </c:pt>
                <c:pt idx="243">
                  <c:v>44918</c:v>
                </c:pt>
                <c:pt idx="244">
                  <c:v>44921</c:v>
                </c:pt>
                <c:pt idx="245">
                  <c:v>44922</c:v>
                </c:pt>
                <c:pt idx="246">
                  <c:v>44923</c:v>
                </c:pt>
                <c:pt idx="247">
                  <c:v>44924</c:v>
                </c:pt>
                <c:pt idx="248">
                  <c:v>44925</c:v>
                </c:pt>
              </c:numCache>
            </c:numRef>
          </c:cat>
          <c:val>
            <c:numRef>
              <c:f>Daily_Returns!$B$2:$B$250</c:f>
              <c:numCache>
                <c:formatCode>_(* #,##0_);_(* \(#,##0\);_(* "-"??_);_(@_)</c:formatCode>
                <c:ptCount val="249"/>
                <c:pt idx="0">
                  <c:v>1000000000</c:v>
                </c:pt>
                <c:pt idx="1">
                  <c:v>1018635492.255439</c:v>
                </c:pt>
                <c:pt idx="2">
                  <c:v>1029239433.204661</c:v>
                </c:pt>
                <c:pt idx="3">
                  <c:v>1040879544.840665</c:v>
                </c:pt>
                <c:pt idx="4">
                  <c:v>1012726505.959532</c:v>
                </c:pt>
                <c:pt idx="5">
                  <c:v>1020194018.758868</c:v>
                </c:pt>
                <c:pt idx="6">
                  <c:v>1011782218.25529</c:v>
                </c:pt>
                <c:pt idx="7">
                  <c:v>976699481.1171397</c:v>
                </c:pt>
                <c:pt idx="8">
                  <c:v>968624519.16912699</c:v>
                </c:pt>
                <c:pt idx="9">
                  <c:v>939202029.38726497</c:v>
                </c:pt>
                <c:pt idx="10">
                  <c:v>932919241.67050624</c:v>
                </c:pt>
                <c:pt idx="11">
                  <c:v>930568657.09428108</c:v>
                </c:pt>
                <c:pt idx="12">
                  <c:v>932758795.18041372</c:v>
                </c:pt>
                <c:pt idx="13">
                  <c:v>942743489.90407991</c:v>
                </c:pt>
                <c:pt idx="14">
                  <c:v>939645503.31775701</c:v>
                </c:pt>
                <c:pt idx="15">
                  <c:v>943727111.15858042</c:v>
                </c:pt>
                <c:pt idx="16">
                  <c:v>948221790.68653643</c:v>
                </c:pt>
                <c:pt idx="17">
                  <c:v>946544412.31049752</c:v>
                </c:pt>
                <c:pt idx="18">
                  <c:v>949000501.16809511</c:v>
                </c:pt>
                <c:pt idx="19">
                  <c:v>944601705.50477481</c:v>
                </c:pt>
                <c:pt idx="20">
                  <c:v>944150870.31634653</c:v>
                </c:pt>
                <c:pt idx="21">
                  <c:v>940312599.69940877</c:v>
                </c:pt>
                <c:pt idx="22">
                  <c:v>939291767.31671131</c:v>
                </c:pt>
                <c:pt idx="23">
                  <c:v>942703715.53565264</c:v>
                </c:pt>
                <c:pt idx="24">
                  <c:v>929823554.87990165</c:v>
                </c:pt>
                <c:pt idx="25">
                  <c:v>939559701.16899204</c:v>
                </c:pt>
                <c:pt idx="26">
                  <c:v>941876368.88111234</c:v>
                </c:pt>
                <c:pt idx="27">
                  <c:v>941913885.36380672</c:v>
                </c:pt>
                <c:pt idx="28">
                  <c:v>935535985.65730357</c:v>
                </c:pt>
                <c:pt idx="29">
                  <c:v>938810915.65281892</c:v>
                </c:pt>
                <c:pt idx="30">
                  <c:v>941956672.89532506</c:v>
                </c:pt>
                <c:pt idx="31">
                  <c:v>943126596.76165736</c:v>
                </c:pt>
                <c:pt idx="32">
                  <c:v>939295620.20325732</c:v>
                </c:pt>
                <c:pt idx="33">
                  <c:v>944336188.28084302</c:v>
                </c:pt>
                <c:pt idx="34">
                  <c:v>944711565.41256285</c:v>
                </c:pt>
                <c:pt idx="35">
                  <c:v>951118204.03584337</c:v>
                </c:pt>
                <c:pt idx="36">
                  <c:v>944074810.09640646</c:v>
                </c:pt>
                <c:pt idx="37">
                  <c:v>956894196.49326158</c:v>
                </c:pt>
                <c:pt idx="38">
                  <c:v>957252862.32007396</c:v>
                </c:pt>
                <c:pt idx="39">
                  <c:v>951093053.47992206</c:v>
                </c:pt>
                <c:pt idx="40">
                  <c:v>946549696.57539451</c:v>
                </c:pt>
                <c:pt idx="41">
                  <c:v>944558684.3582716</c:v>
                </c:pt>
                <c:pt idx="42">
                  <c:v>945869691.25757241</c:v>
                </c:pt>
                <c:pt idx="43">
                  <c:v>946392535.90776145</c:v>
                </c:pt>
                <c:pt idx="44">
                  <c:v>952604880.81931138</c:v>
                </c:pt>
                <c:pt idx="45">
                  <c:v>952833998.25283933</c:v>
                </c:pt>
                <c:pt idx="46">
                  <c:v>956147480.05186749</c:v>
                </c:pt>
                <c:pt idx="47">
                  <c:v>962991150.82514119</c:v>
                </c:pt>
                <c:pt idx="48">
                  <c:v>962793619.775509</c:v>
                </c:pt>
                <c:pt idx="49">
                  <c:v>963335450.43394184</c:v>
                </c:pt>
                <c:pt idx="50">
                  <c:v>962148383.38507426</c:v>
                </c:pt>
                <c:pt idx="51">
                  <c:v>961731231.13912225</c:v>
                </c:pt>
                <c:pt idx="52">
                  <c:v>963386557.85063922</c:v>
                </c:pt>
                <c:pt idx="53">
                  <c:v>961776071.75412464</c:v>
                </c:pt>
                <c:pt idx="54">
                  <c:v>953455256.90472376</c:v>
                </c:pt>
                <c:pt idx="55">
                  <c:v>962483687.85782552</c:v>
                </c:pt>
                <c:pt idx="56">
                  <c:v>963293030.15333796</c:v>
                </c:pt>
                <c:pt idx="57">
                  <c:v>964194200.07761312</c:v>
                </c:pt>
                <c:pt idx="58">
                  <c:v>964194200</c:v>
                </c:pt>
                <c:pt idx="59">
                  <c:v>963797592.85550427</c:v>
                </c:pt>
                <c:pt idx="60">
                  <c:v>962135769.79147172</c:v>
                </c:pt>
                <c:pt idx="61">
                  <c:v>944838437.04908133</c:v>
                </c:pt>
                <c:pt idx="62">
                  <c:v>932084698.23908913</c:v>
                </c:pt>
                <c:pt idx="63">
                  <c:v>906900345.81091011</c:v>
                </c:pt>
                <c:pt idx="64">
                  <c:v>883005781.05039895</c:v>
                </c:pt>
                <c:pt idx="65">
                  <c:v>900197292.77725983</c:v>
                </c:pt>
                <c:pt idx="66">
                  <c:v>903081338.15192032</c:v>
                </c:pt>
                <c:pt idx="67">
                  <c:v>905082804.20435035</c:v>
                </c:pt>
                <c:pt idx="68">
                  <c:v>897525116.56416571</c:v>
                </c:pt>
                <c:pt idx="69">
                  <c:v>889438032.71659708</c:v>
                </c:pt>
                <c:pt idx="70">
                  <c:v>875263387.19931483</c:v>
                </c:pt>
                <c:pt idx="71">
                  <c:v>870353133.70644844</c:v>
                </c:pt>
                <c:pt idx="72">
                  <c:v>866602875.36588001</c:v>
                </c:pt>
                <c:pt idx="73">
                  <c:v>845143111.24861193</c:v>
                </c:pt>
                <c:pt idx="74">
                  <c:v>850317112.90480101</c:v>
                </c:pt>
                <c:pt idx="75">
                  <c:v>851129009.58422804</c:v>
                </c:pt>
                <c:pt idx="76">
                  <c:v>851382645.32494557</c:v>
                </c:pt>
                <c:pt idx="77">
                  <c:v>856713636.59037364</c:v>
                </c:pt>
                <c:pt idx="78">
                  <c:v>852854124.35782194</c:v>
                </c:pt>
                <c:pt idx="79">
                  <c:v>851888330.45222282</c:v>
                </c:pt>
                <c:pt idx="80">
                  <c:v>848124631.26571071</c:v>
                </c:pt>
                <c:pt idx="81">
                  <c:v>827462687.9345243</c:v>
                </c:pt>
                <c:pt idx="82">
                  <c:v>832388870.45330858</c:v>
                </c:pt>
                <c:pt idx="83">
                  <c:v>831614543.79859662</c:v>
                </c:pt>
                <c:pt idx="84">
                  <c:v>814364547.35941362</c:v>
                </c:pt>
                <c:pt idx="85">
                  <c:v>804791535.43700862</c:v>
                </c:pt>
                <c:pt idx="86">
                  <c:v>805379781.25530934</c:v>
                </c:pt>
                <c:pt idx="87">
                  <c:v>805605599.79617989</c:v>
                </c:pt>
                <c:pt idx="88">
                  <c:v>809360416.91674137</c:v>
                </c:pt>
                <c:pt idx="89">
                  <c:v>806642555.1284734</c:v>
                </c:pt>
                <c:pt idx="90">
                  <c:v>808315085.45971525</c:v>
                </c:pt>
                <c:pt idx="91">
                  <c:v>808733218.04252577</c:v>
                </c:pt>
                <c:pt idx="92">
                  <c:v>808624509.7176429</c:v>
                </c:pt>
                <c:pt idx="93">
                  <c:v>811869212.41360414</c:v>
                </c:pt>
                <c:pt idx="94">
                  <c:v>815113940.8759377</c:v>
                </c:pt>
                <c:pt idx="95">
                  <c:v>815548825.70821357</c:v>
                </c:pt>
                <c:pt idx="96">
                  <c:v>814503494.25118744</c:v>
                </c:pt>
                <c:pt idx="97">
                  <c:v>813859543.12750626</c:v>
                </c:pt>
                <c:pt idx="98">
                  <c:v>813759185.16098392</c:v>
                </c:pt>
                <c:pt idx="99">
                  <c:v>813550118.8695786</c:v>
                </c:pt>
                <c:pt idx="100">
                  <c:v>813341052.5781734</c:v>
                </c:pt>
                <c:pt idx="101">
                  <c:v>808945527.91108549</c:v>
                </c:pt>
                <c:pt idx="102">
                  <c:v>815790439.03532577</c:v>
                </c:pt>
                <c:pt idx="103">
                  <c:v>817507422.52001715</c:v>
                </c:pt>
                <c:pt idx="104">
                  <c:v>820063673.60030961</c:v>
                </c:pt>
                <c:pt idx="105">
                  <c:v>819136797.47562575</c:v>
                </c:pt>
                <c:pt idx="106">
                  <c:v>815941173.59214926</c:v>
                </c:pt>
                <c:pt idx="107">
                  <c:v>809085784.43542969</c:v>
                </c:pt>
                <c:pt idx="108">
                  <c:v>810108190.54384279</c:v>
                </c:pt>
                <c:pt idx="109">
                  <c:v>806712596.5677954</c:v>
                </c:pt>
                <c:pt idx="110">
                  <c:v>801415422.5090785</c:v>
                </c:pt>
                <c:pt idx="111">
                  <c:v>800872124.50690579</c:v>
                </c:pt>
                <c:pt idx="112">
                  <c:v>803739398.50594664</c:v>
                </c:pt>
                <c:pt idx="113">
                  <c:v>801702012.46026623</c:v>
                </c:pt>
                <c:pt idx="114">
                  <c:v>802084132.39518309</c:v>
                </c:pt>
                <c:pt idx="115">
                  <c:v>801948326.43217242</c:v>
                </c:pt>
                <c:pt idx="116">
                  <c:v>802619978.45983779</c:v>
                </c:pt>
                <c:pt idx="117">
                  <c:v>804594621.48848724</c:v>
                </c:pt>
                <c:pt idx="118">
                  <c:v>804227442.50367153</c:v>
                </c:pt>
                <c:pt idx="119">
                  <c:v>803508025.48414171</c:v>
                </c:pt>
                <c:pt idx="120">
                  <c:v>803508024.99999988</c:v>
                </c:pt>
                <c:pt idx="121">
                  <c:v>792199141.58257496</c:v>
                </c:pt>
                <c:pt idx="122">
                  <c:v>778005611.19044447</c:v>
                </c:pt>
                <c:pt idx="123">
                  <c:v>761562971.10059524</c:v>
                </c:pt>
                <c:pt idx="124">
                  <c:v>767827200.25753522</c:v>
                </c:pt>
                <c:pt idx="125">
                  <c:v>773157428.81610584</c:v>
                </c:pt>
                <c:pt idx="126">
                  <c:v>775433464.25075531</c:v>
                </c:pt>
                <c:pt idx="127">
                  <c:v>782339690.76867747</c:v>
                </c:pt>
                <c:pt idx="128">
                  <c:v>781889624.04974437</c:v>
                </c:pt>
                <c:pt idx="129">
                  <c:v>791145293.52149415</c:v>
                </c:pt>
                <c:pt idx="130">
                  <c:v>795855985.27754092</c:v>
                </c:pt>
                <c:pt idx="131">
                  <c:v>798082435.00555301</c:v>
                </c:pt>
                <c:pt idx="132">
                  <c:v>798749592.30018854</c:v>
                </c:pt>
                <c:pt idx="133">
                  <c:v>808376575.37757158</c:v>
                </c:pt>
                <c:pt idx="134">
                  <c:v>810718606.82135868</c:v>
                </c:pt>
                <c:pt idx="135">
                  <c:v>815993293.40154338</c:v>
                </c:pt>
                <c:pt idx="136">
                  <c:v>817929278.89405036</c:v>
                </c:pt>
                <c:pt idx="137">
                  <c:v>819116957.78686619</c:v>
                </c:pt>
                <c:pt idx="138">
                  <c:v>824668622.3056941</c:v>
                </c:pt>
                <c:pt idx="139">
                  <c:v>833792509.86894464</c:v>
                </c:pt>
                <c:pt idx="140">
                  <c:v>834502115.695508</c:v>
                </c:pt>
                <c:pt idx="141">
                  <c:v>838458411.13496447</c:v>
                </c:pt>
                <c:pt idx="142">
                  <c:v>837309273.77397394</c:v>
                </c:pt>
                <c:pt idx="143">
                  <c:v>834794275.34354591</c:v>
                </c:pt>
                <c:pt idx="144">
                  <c:v>835247698.3369875</c:v>
                </c:pt>
                <c:pt idx="145">
                  <c:v>833679514.9086585</c:v>
                </c:pt>
                <c:pt idx="146">
                  <c:v>834753575.74743533</c:v>
                </c:pt>
                <c:pt idx="147">
                  <c:v>836188043.68190718</c:v>
                </c:pt>
                <c:pt idx="148">
                  <c:v>835518819.19779468</c:v>
                </c:pt>
                <c:pt idx="149">
                  <c:v>833257748.04831815</c:v>
                </c:pt>
                <c:pt idx="150">
                  <c:v>831391765.72950768</c:v>
                </c:pt>
                <c:pt idx="151">
                  <c:v>831473561.69313121</c:v>
                </c:pt>
                <c:pt idx="152">
                  <c:v>834811488.34271383</c:v>
                </c:pt>
                <c:pt idx="153">
                  <c:v>832217660.84550714</c:v>
                </c:pt>
                <c:pt idx="154">
                  <c:v>834014213.05158925</c:v>
                </c:pt>
                <c:pt idx="155">
                  <c:v>833878257.06700277</c:v>
                </c:pt>
                <c:pt idx="156">
                  <c:v>832170285.98738837</c:v>
                </c:pt>
                <c:pt idx="157">
                  <c:v>833175445.49932504</c:v>
                </c:pt>
                <c:pt idx="158">
                  <c:v>837881396.81109643</c:v>
                </c:pt>
                <c:pt idx="159">
                  <c:v>840991684.75892806</c:v>
                </c:pt>
                <c:pt idx="160">
                  <c:v>840671069.09592485</c:v>
                </c:pt>
                <c:pt idx="161">
                  <c:v>838520585.60854363</c:v>
                </c:pt>
                <c:pt idx="162">
                  <c:v>843896588.54763556</c:v>
                </c:pt>
                <c:pt idx="163">
                  <c:v>844381944.63240242</c:v>
                </c:pt>
                <c:pt idx="164">
                  <c:v>843434616.10577369</c:v>
                </c:pt>
                <c:pt idx="165">
                  <c:v>844020041.98958755</c:v>
                </c:pt>
                <c:pt idx="166">
                  <c:v>840649037.03472781</c:v>
                </c:pt>
                <c:pt idx="167">
                  <c:v>841220277.0353384</c:v>
                </c:pt>
                <c:pt idx="168">
                  <c:v>842595378.35251617</c:v>
                </c:pt>
                <c:pt idx="169">
                  <c:v>844208239.89983463</c:v>
                </c:pt>
                <c:pt idx="170">
                  <c:v>844661200.82793355</c:v>
                </c:pt>
                <c:pt idx="171">
                  <c:v>841862755.08734775</c:v>
                </c:pt>
                <c:pt idx="172">
                  <c:v>842269316.76279831</c:v>
                </c:pt>
                <c:pt idx="173">
                  <c:v>841477082.8815217</c:v>
                </c:pt>
                <c:pt idx="174">
                  <c:v>840834169.52926183</c:v>
                </c:pt>
                <c:pt idx="175">
                  <c:v>843121799.49084854</c:v>
                </c:pt>
                <c:pt idx="176">
                  <c:v>841709566.71619129</c:v>
                </c:pt>
                <c:pt idx="177">
                  <c:v>842036975.96963787</c:v>
                </c:pt>
                <c:pt idx="178">
                  <c:v>844657749.05984735</c:v>
                </c:pt>
                <c:pt idx="179">
                  <c:v>839414399.37723827</c:v>
                </c:pt>
                <c:pt idx="180">
                  <c:v>840019119.19308329</c:v>
                </c:pt>
                <c:pt idx="181">
                  <c:v>840465429.10086346</c:v>
                </c:pt>
                <c:pt idx="182">
                  <c:v>841069092.41615772</c:v>
                </c:pt>
                <c:pt idx="183">
                  <c:v>842604217.86402059</c:v>
                </c:pt>
                <c:pt idx="184">
                  <c:v>842604218</c:v>
                </c:pt>
                <c:pt idx="185">
                  <c:v>855938677.89530587</c:v>
                </c:pt>
                <c:pt idx="186">
                  <c:v>858456390.22699821</c:v>
                </c:pt>
                <c:pt idx="187">
                  <c:v>839575643.96410036</c:v>
                </c:pt>
                <c:pt idx="188">
                  <c:v>837668233.47485089</c:v>
                </c:pt>
                <c:pt idx="189">
                  <c:v>830836164.9124198</c:v>
                </c:pt>
                <c:pt idx="190">
                  <c:v>817966841.74430358</c:v>
                </c:pt>
                <c:pt idx="191">
                  <c:v>825558193.75643265</c:v>
                </c:pt>
                <c:pt idx="192">
                  <c:v>837857607.1723094</c:v>
                </c:pt>
                <c:pt idx="193">
                  <c:v>837350339.27468157</c:v>
                </c:pt>
                <c:pt idx="194">
                  <c:v>835751068.82438827</c:v>
                </c:pt>
                <c:pt idx="195">
                  <c:v>837552085.84829903</c:v>
                </c:pt>
                <c:pt idx="196">
                  <c:v>835800158.96486831</c:v>
                </c:pt>
                <c:pt idx="197">
                  <c:v>836343317.76737392</c:v>
                </c:pt>
                <c:pt idx="198">
                  <c:v>828396719.71598732</c:v>
                </c:pt>
                <c:pt idx="199">
                  <c:v>815324175.75897586</c:v>
                </c:pt>
                <c:pt idx="200">
                  <c:v>823165359.53530669</c:v>
                </c:pt>
                <c:pt idx="201">
                  <c:v>823836355.7727071</c:v>
                </c:pt>
                <c:pt idx="202">
                  <c:v>829924920.03750074</c:v>
                </c:pt>
                <c:pt idx="203">
                  <c:v>832558971.29271746</c:v>
                </c:pt>
                <c:pt idx="204">
                  <c:v>831494536.4829824</c:v>
                </c:pt>
                <c:pt idx="205">
                  <c:v>837667964.03527856</c:v>
                </c:pt>
                <c:pt idx="206">
                  <c:v>836215156.66138005</c:v>
                </c:pt>
                <c:pt idx="207">
                  <c:v>830600800.77026057</c:v>
                </c:pt>
                <c:pt idx="208">
                  <c:v>828956604.12371719</c:v>
                </c:pt>
                <c:pt idx="209">
                  <c:v>825325183.20208561</c:v>
                </c:pt>
                <c:pt idx="210">
                  <c:v>820337110.05124784</c:v>
                </c:pt>
                <c:pt idx="211">
                  <c:v>826821359.00706589</c:v>
                </c:pt>
                <c:pt idx="212">
                  <c:v>811228835.67807901</c:v>
                </c:pt>
                <c:pt idx="213">
                  <c:v>817072436.5980196</c:v>
                </c:pt>
                <c:pt idx="214">
                  <c:v>816657345.76368356</c:v>
                </c:pt>
                <c:pt idx="215">
                  <c:v>805557653.94833195</c:v>
                </c:pt>
                <c:pt idx="216">
                  <c:v>808707141.15676057</c:v>
                </c:pt>
                <c:pt idx="217">
                  <c:v>814350012.43380213</c:v>
                </c:pt>
                <c:pt idx="218">
                  <c:v>817610861.94207394</c:v>
                </c:pt>
                <c:pt idx="219">
                  <c:v>819311434.17408216</c:v>
                </c:pt>
                <c:pt idx="220">
                  <c:v>818852472.47188199</c:v>
                </c:pt>
                <c:pt idx="221">
                  <c:v>814298249.65795219</c:v>
                </c:pt>
                <c:pt idx="222">
                  <c:v>815894008.22605371</c:v>
                </c:pt>
                <c:pt idx="223">
                  <c:v>819504363.58508551</c:v>
                </c:pt>
                <c:pt idx="224">
                  <c:v>822366809.11879575</c:v>
                </c:pt>
                <c:pt idx="225">
                  <c:v>818160620.34255397</c:v>
                </c:pt>
                <c:pt idx="226">
                  <c:v>818892385.40749133</c:v>
                </c:pt>
                <c:pt idx="227">
                  <c:v>817018142.79038501</c:v>
                </c:pt>
                <c:pt idx="228">
                  <c:v>818549067.99387348</c:v>
                </c:pt>
                <c:pt idx="229">
                  <c:v>826264015.5224911</c:v>
                </c:pt>
                <c:pt idx="230">
                  <c:v>819205392.93902528</c:v>
                </c:pt>
                <c:pt idx="231">
                  <c:v>821106859.16587007</c:v>
                </c:pt>
                <c:pt idx="232">
                  <c:v>821685608.73039174</c:v>
                </c:pt>
                <c:pt idx="233">
                  <c:v>824773329.41713893</c:v>
                </c:pt>
                <c:pt idx="234">
                  <c:v>825186786.04076779</c:v>
                </c:pt>
                <c:pt idx="235">
                  <c:v>827017122.65584493</c:v>
                </c:pt>
                <c:pt idx="236">
                  <c:v>826179440.51427329</c:v>
                </c:pt>
                <c:pt idx="237">
                  <c:v>828904052.99635792</c:v>
                </c:pt>
                <c:pt idx="238">
                  <c:v>826872806.22094345</c:v>
                </c:pt>
                <c:pt idx="239">
                  <c:v>825253917.27097964</c:v>
                </c:pt>
                <c:pt idx="240">
                  <c:v>821002031.01827323</c:v>
                </c:pt>
                <c:pt idx="241">
                  <c:v>821147611.73807025</c:v>
                </c:pt>
                <c:pt idx="242">
                  <c:v>820408264.16400218</c:v>
                </c:pt>
                <c:pt idx="243">
                  <c:v>821223905.50658357</c:v>
                </c:pt>
                <c:pt idx="244">
                  <c:v>812339909.27820349</c:v>
                </c:pt>
                <c:pt idx="245">
                  <c:v>816267496.3335526</c:v>
                </c:pt>
                <c:pt idx="246">
                  <c:v>826538574.31012571</c:v>
                </c:pt>
                <c:pt idx="247">
                  <c:v>828091647.25973642</c:v>
                </c:pt>
                <c:pt idx="248">
                  <c:v>825427934.28827178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3EF-4CC2-ABA1-E984CD896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9736879"/>
        <c:axId val="1550887375"/>
      </c:lineChart>
      <c:dateAx>
        <c:axId val="1549736879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887375"/>
        <c:crosses val="autoZero"/>
        <c:auto val="1"/>
        <c:lblOffset val="100"/>
        <c:baseTimeUnit val="days"/>
      </c:dateAx>
      <c:valAx>
        <c:axId val="1550887375"/>
        <c:scaling>
          <c:orientation val="minMax"/>
          <c:min val="75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736879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1.3863215257308917E-2"/>
                <c:y val="0.1790064158307979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1430420</xdr:colOff>
      <xdr:row>4</xdr:row>
      <xdr:rowOff>0</xdr:rowOff>
    </xdr:from>
    <xdr:to>
      <xdr:col>11</xdr:col>
      <xdr:colOff>367631</xdr:colOff>
      <xdr:row>18</xdr:row>
      <xdr:rowOff>168108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FB9272-0167-4A7E-A6A7-5F76AF8539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G5" sqref="G5"/>
    </sheetView>
  </sheetViews>
  <sheetFormatPr defaultRowHeight="14.5" x14ac:dyDescent="0.35"/>
  <cols>
    <col min="1" max="5" width="19.6328125" customWidth="1"/>
    <col min="7" max="7" width="12.6328125" bestFit="1" customWidth="1"/>
  </cols>
  <sheetData>
    <row r="1" spans="1:7" x14ac:dyDescent="0.35">
      <c r="A1" s="1" t="s">
        <v>0</v>
      </c>
      <c r="B1" s="8" t="s">
        <v>28</v>
      </c>
      <c r="C1" s="8" t="s">
        <v>52</v>
      </c>
      <c r="D1" s="1" t="s">
        <v>75</v>
      </c>
      <c r="E1" s="1" t="s">
        <v>93</v>
      </c>
    </row>
    <row r="2" spans="1:7" x14ac:dyDescent="0.35">
      <c r="A2" s="9" t="s">
        <v>1</v>
      </c>
      <c r="B2" s="10">
        <v>1000000000</v>
      </c>
      <c r="C2" s="10">
        <v>964194200</v>
      </c>
      <c r="D2" s="10">
        <v>803508025</v>
      </c>
      <c r="E2" s="10">
        <v>842604218</v>
      </c>
    </row>
    <row r="3" spans="1:7" x14ac:dyDescent="0.35">
      <c r="A3" s="9" t="s">
        <v>2</v>
      </c>
      <c r="B3" s="10">
        <v>964194200.07761312</v>
      </c>
      <c r="C3" s="10">
        <v>803508025.48414171</v>
      </c>
      <c r="D3" s="10">
        <v>842604217.86402059</v>
      </c>
      <c r="E3" s="10">
        <v>825427934.28827178</v>
      </c>
      <c r="G3" s="21">
        <f>-(B2-E3)</f>
        <v>-174572065.71172822</v>
      </c>
    </row>
    <row r="4" spans="1:7" x14ac:dyDescent="0.35">
      <c r="A4" s="9" t="s">
        <v>3</v>
      </c>
      <c r="B4" s="14">
        <v>-35805799.922386877</v>
      </c>
      <c r="C4" s="10">
        <v>-160686174.51585829</v>
      </c>
      <c r="D4" s="10">
        <v>39096192.864020593</v>
      </c>
      <c r="E4" s="14">
        <v>-17176283.711728219</v>
      </c>
      <c r="G4" s="11">
        <f>G3/B2</f>
        <v>-0.1745720657117282</v>
      </c>
    </row>
    <row r="5" spans="1:7" x14ac:dyDescent="0.35">
      <c r="A5" s="9" t="s">
        <v>19</v>
      </c>
      <c r="B5" s="12">
        <v>-3.5805799922386902E-2</v>
      </c>
      <c r="C5" s="12">
        <v>-0.166653330331025</v>
      </c>
      <c r="D5" s="12">
        <v>4.8656879144449799E-2</v>
      </c>
      <c r="E5" s="12">
        <v>-2.03847587571989E-2</v>
      </c>
    </row>
    <row r="6" spans="1:7" x14ac:dyDescent="0.35">
      <c r="A6" s="9" t="s">
        <v>4</v>
      </c>
      <c r="B6" s="12">
        <v>-0.106694372572922</v>
      </c>
      <c r="C6" s="12">
        <v>-0.16938711671683401</v>
      </c>
      <c r="D6" s="12">
        <v>-5.2202408183047902E-2</v>
      </c>
      <c r="E6" s="12">
        <v>-6.1620761265086997E-2</v>
      </c>
    </row>
    <row r="7" spans="1:7" x14ac:dyDescent="0.35">
      <c r="A7" s="9" t="s">
        <v>5</v>
      </c>
      <c r="B7" s="12">
        <v>-7.0176445120098394E-2</v>
      </c>
      <c r="C7" s="12">
        <v>-0.16938711671683401</v>
      </c>
      <c r="D7" s="12">
        <v>-5.2202408183047999E-2</v>
      </c>
      <c r="E7" s="12">
        <v>-4.3966744125256703E-2</v>
      </c>
    </row>
    <row r="8" spans="1:7" x14ac:dyDescent="0.35">
      <c r="A8" s="9" t="s">
        <v>21</v>
      </c>
      <c r="B8" s="12">
        <v>0.35714285714285698</v>
      </c>
      <c r="C8" s="12">
        <v>0</v>
      </c>
      <c r="D8" s="12">
        <v>0.46153846153846201</v>
      </c>
      <c r="E8" s="12">
        <v>0.35714285714285698</v>
      </c>
    </row>
    <row r="9" spans="1:7" x14ac:dyDescent="0.35">
      <c r="A9" s="9" t="s">
        <v>22</v>
      </c>
      <c r="B9" s="12">
        <f>COUNTIF(Trades_Log!H3:H16,"Take Profit")/ROWS(Trades_Log!A3:A16)</f>
        <v>0.21428571428571427</v>
      </c>
      <c r="C9" s="12">
        <f>COUNTIF(Trades_Log!H18:H32,"Take Profit")/ROWS(Trades_Log!H18:H32)</f>
        <v>0</v>
      </c>
      <c r="D9" s="12">
        <f>COUNTIF(Trades_Log!H34:H46,"Take Profit")/ROWS(Trades_Log!H34:H46)</f>
        <v>0.38461538461538464</v>
      </c>
      <c r="E9" s="12">
        <f>COUNTIF(Trades_Log!H48:H61,"Take Profit")/ROWS(Trades_Log!H48:H61)</f>
        <v>7.1428571428571425E-2</v>
      </c>
    </row>
    <row r="10" spans="1:7" x14ac:dyDescent="0.35">
      <c r="A10" s="9" t="s">
        <v>23</v>
      </c>
      <c r="B10" s="12">
        <f>COUNTIF(Trades_Log!H3:H16,"Stop Loss")/ROWS(Trades_Log!A3:A16)</f>
        <v>0.5</v>
      </c>
      <c r="C10" s="12">
        <f>COUNTIF(Trades_Log!H18:H32,"Stop Loss")/ROWS(Trades_Log!H18:H32)</f>
        <v>0.8666666666666667</v>
      </c>
      <c r="D10" s="12">
        <f>COUNTIF(Trades_Log!H34:H46,"Stop Loss")/ROWS(Trades_Log!H34:H46)</f>
        <v>0.23076923076923078</v>
      </c>
      <c r="E10" s="12">
        <f>COUNTIF(Trades_Log!H48:H61,"Stop Loss")/ROWS(Trades_Log!H48:H61)</f>
        <v>0.2857142857142857</v>
      </c>
    </row>
  </sheetData>
  <conditionalFormatting sqref="B4:E4">
    <cfRule type="cellIs" dxfId="27" priority="1" operator="less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0"/>
  <sheetViews>
    <sheetView topLeftCell="A2" zoomScale="95" zoomScaleNormal="95" workbookViewId="0">
      <selection activeCell="A186" sqref="A186:B250"/>
    </sheetView>
  </sheetViews>
  <sheetFormatPr defaultRowHeight="14.5" x14ac:dyDescent="0.35"/>
  <cols>
    <col min="1" max="1" width="20.453125" style="3" customWidth="1"/>
    <col min="2" max="2" width="20.453125" style="4" customWidth="1"/>
    <col min="3" max="3" width="9" customWidth="1"/>
    <col min="7" max="7" width="14.08984375" bestFit="1" customWidth="1"/>
  </cols>
  <sheetData>
    <row r="1" spans="1:2" x14ac:dyDescent="0.35">
      <c r="A1" s="2" t="s">
        <v>6</v>
      </c>
      <c r="B1" s="5" t="s">
        <v>7</v>
      </c>
    </row>
    <row r="2" spans="1:2" x14ac:dyDescent="0.35">
      <c r="A2" s="3">
        <v>44565</v>
      </c>
      <c r="B2" s="4">
        <v>1000000000</v>
      </c>
    </row>
    <row r="3" spans="1:2" x14ac:dyDescent="0.35">
      <c r="A3" s="3">
        <v>44566</v>
      </c>
      <c r="B3" s="4">
        <v>1018635492.255439</v>
      </c>
    </row>
    <row r="4" spans="1:2" x14ac:dyDescent="0.35">
      <c r="A4" s="3">
        <v>44567</v>
      </c>
      <c r="B4" s="4">
        <v>1029239433.204661</v>
      </c>
    </row>
    <row r="5" spans="1:2" x14ac:dyDescent="0.35">
      <c r="A5" s="3">
        <v>44568</v>
      </c>
      <c r="B5" s="4">
        <v>1040879544.840665</v>
      </c>
    </row>
    <row r="6" spans="1:2" x14ac:dyDescent="0.35">
      <c r="A6" s="3">
        <v>44571</v>
      </c>
      <c r="B6" s="4">
        <v>1012726505.959532</v>
      </c>
    </row>
    <row r="7" spans="1:2" x14ac:dyDescent="0.35">
      <c r="A7" s="3">
        <v>44572</v>
      </c>
      <c r="B7" s="4">
        <v>1020194018.758868</v>
      </c>
    </row>
    <row r="8" spans="1:2" x14ac:dyDescent="0.35">
      <c r="A8" s="3">
        <v>44573</v>
      </c>
      <c r="B8" s="4">
        <v>1011782218.25529</v>
      </c>
    </row>
    <row r="9" spans="1:2" x14ac:dyDescent="0.35">
      <c r="A9" s="3">
        <v>44574</v>
      </c>
      <c r="B9" s="4">
        <v>976699481.1171397</v>
      </c>
    </row>
    <row r="10" spans="1:2" x14ac:dyDescent="0.35">
      <c r="A10" s="3">
        <v>44575</v>
      </c>
      <c r="B10" s="4">
        <v>968624519.16912699</v>
      </c>
    </row>
    <row r="11" spans="1:2" x14ac:dyDescent="0.35">
      <c r="A11" s="3">
        <v>44578</v>
      </c>
      <c r="B11" s="4">
        <v>939202029.38726497</v>
      </c>
    </row>
    <row r="12" spans="1:2" x14ac:dyDescent="0.35">
      <c r="A12" s="3">
        <v>44579</v>
      </c>
      <c r="B12" s="4">
        <v>932919241.67050624</v>
      </c>
    </row>
    <row r="13" spans="1:2" x14ac:dyDescent="0.35">
      <c r="A13" s="3">
        <v>44580</v>
      </c>
      <c r="B13" s="4">
        <v>930568657.09428108</v>
      </c>
    </row>
    <row r="14" spans="1:2" x14ac:dyDescent="0.35">
      <c r="A14" s="3">
        <v>44581</v>
      </c>
      <c r="B14" s="4">
        <v>932758795.18041372</v>
      </c>
    </row>
    <row r="15" spans="1:2" x14ac:dyDescent="0.35">
      <c r="A15" s="3">
        <v>44582</v>
      </c>
      <c r="B15" s="4">
        <v>942743489.90407991</v>
      </c>
    </row>
    <row r="16" spans="1:2" x14ac:dyDescent="0.35">
      <c r="A16" s="3">
        <v>44585</v>
      </c>
      <c r="B16" s="4">
        <v>939645503.31775701</v>
      </c>
    </row>
    <row r="17" spans="1:7" x14ac:dyDescent="0.35">
      <c r="A17" s="3">
        <v>44586</v>
      </c>
      <c r="B17" s="4">
        <v>943727111.15858042</v>
      </c>
    </row>
    <row r="18" spans="1:7" x14ac:dyDescent="0.35">
      <c r="A18" s="3">
        <v>44587</v>
      </c>
      <c r="B18" s="4">
        <v>948221790.68653643</v>
      </c>
    </row>
    <row r="19" spans="1:7" x14ac:dyDescent="0.35">
      <c r="A19" s="3">
        <v>44588</v>
      </c>
      <c r="B19" s="4">
        <v>946544412.31049752</v>
      </c>
    </row>
    <row r="20" spans="1:7" x14ac:dyDescent="0.35">
      <c r="A20" s="3">
        <v>44589</v>
      </c>
      <c r="B20" s="4">
        <v>949000501.16809511</v>
      </c>
    </row>
    <row r="21" spans="1:7" x14ac:dyDescent="0.35">
      <c r="A21" s="3">
        <v>44599</v>
      </c>
      <c r="B21" s="4">
        <v>944601705.50477481</v>
      </c>
    </row>
    <row r="22" spans="1:7" x14ac:dyDescent="0.35">
      <c r="A22" s="3">
        <v>44600</v>
      </c>
      <c r="B22" s="4">
        <v>944150870.31634653</v>
      </c>
    </row>
    <row r="23" spans="1:7" x14ac:dyDescent="0.35">
      <c r="A23" s="3">
        <v>44601</v>
      </c>
      <c r="B23" s="4">
        <v>940312599.69940877</v>
      </c>
    </row>
    <row r="24" spans="1:7" x14ac:dyDescent="0.35">
      <c r="A24" s="3">
        <v>44602</v>
      </c>
      <c r="B24" s="4">
        <v>939291767.31671131</v>
      </c>
    </row>
    <row r="25" spans="1:7" x14ac:dyDescent="0.35">
      <c r="A25" s="3">
        <v>44603</v>
      </c>
      <c r="B25" s="4">
        <v>942703715.53565264</v>
      </c>
    </row>
    <row r="26" spans="1:7" x14ac:dyDescent="0.35">
      <c r="A26" s="3">
        <v>44606</v>
      </c>
      <c r="B26" s="4">
        <v>929823554.87990165</v>
      </c>
    </row>
    <row r="27" spans="1:7" x14ac:dyDescent="0.35">
      <c r="A27" s="3">
        <v>44607</v>
      </c>
      <c r="B27" s="4">
        <v>939559701.16899204</v>
      </c>
      <c r="G27" s="13"/>
    </row>
    <row r="28" spans="1:7" x14ac:dyDescent="0.35">
      <c r="A28" s="3">
        <v>44608</v>
      </c>
      <c r="B28" s="4">
        <v>941876368.88111234</v>
      </c>
    </row>
    <row r="29" spans="1:7" x14ac:dyDescent="0.35">
      <c r="A29" s="3">
        <v>44609</v>
      </c>
      <c r="B29" s="4">
        <v>941913885.36380672</v>
      </c>
    </row>
    <row r="30" spans="1:7" x14ac:dyDescent="0.35">
      <c r="A30" s="3">
        <v>44610</v>
      </c>
      <c r="B30" s="4">
        <v>935535985.65730357</v>
      </c>
    </row>
    <row r="31" spans="1:7" x14ac:dyDescent="0.35">
      <c r="A31" s="3">
        <v>44613</v>
      </c>
      <c r="B31" s="4">
        <v>938810915.65281892</v>
      </c>
    </row>
    <row r="32" spans="1:7" x14ac:dyDescent="0.35">
      <c r="A32" s="3">
        <v>44614</v>
      </c>
      <c r="B32" s="4">
        <v>941956672.89532506</v>
      </c>
    </row>
    <row r="33" spans="1:2" x14ac:dyDescent="0.35">
      <c r="A33" s="3">
        <v>44615</v>
      </c>
      <c r="B33" s="4">
        <v>943126596.76165736</v>
      </c>
    </row>
    <row r="34" spans="1:2" x14ac:dyDescent="0.35">
      <c r="A34" s="3">
        <v>44616</v>
      </c>
      <c r="B34" s="4">
        <v>939295620.20325732</v>
      </c>
    </row>
    <row r="35" spans="1:2" x14ac:dyDescent="0.35">
      <c r="A35" s="3">
        <v>44617</v>
      </c>
      <c r="B35" s="4">
        <v>944336188.28084302</v>
      </c>
    </row>
    <row r="36" spans="1:2" x14ac:dyDescent="0.35">
      <c r="A36" s="3">
        <v>44620</v>
      </c>
      <c r="B36" s="4">
        <v>944711565.41256285</v>
      </c>
    </row>
    <row r="37" spans="1:2" x14ac:dyDescent="0.35">
      <c r="A37" s="3">
        <v>44621</v>
      </c>
      <c r="B37" s="4">
        <v>951118204.03584337</v>
      </c>
    </row>
    <row r="38" spans="1:2" x14ac:dyDescent="0.35">
      <c r="A38" s="3">
        <v>44622</v>
      </c>
      <c r="B38" s="4">
        <v>944074810.09640646</v>
      </c>
    </row>
    <row r="39" spans="1:2" x14ac:dyDescent="0.35">
      <c r="A39" s="3">
        <v>44623</v>
      </c>
      <c r="B39" s="4">
        <v>956894196.49326158</v>
      </c>
    </row>
    <row r="40" spans="1:2" x14ac:dyDescent="0.35">
      <c r="A40" s="3">
        <v>44624</v>
      </c>
      <c r="B40" s="4">
        <v>957252862.32007396</v>
      </c>
    </row>
    <row r="41" spans="1:2" x14ac:dyDescent="0.35">
      <c r="A41" s="3">
        <v>44627</v>
      </c>
      <c r="B41" s="4">
        <v>951093053.47992206</v>
      </c>
    </row>
    <row r="42" spans="1:2" x14ac:dyDescent="0.35">
      <c r="A42" s="3">
        <v>44628</v>
      </c>
      <c r="B42" s="4">
        <v>946549696.57539451</v>
      </c>
    </row>
    <row r="43" spans="1:2" x14ac:dyDescent="0.35">
      <c r="A43" s="3">
        <v>44629</v>
      </c>
      <c r="B43" s="4">
        <v>944558684.3582716</v>
      </c>
    </row>
    <row r="44" spans="1:2" x14ac:dyDescent="0.35">
      <c r="A44" s="3">
        <v>44630</v>
      </c>
      <c r="B44" s="4">
        <v>945869691.25757241</v>
      </c>
    </row>
    <row r="45" spans="1:2" x14ac:dyDescent="0.35">
      <c r="A45" s="3">
        <v>44631</v>
      </c>
      <c r="B45" s="4">
        <v>946392535.90776145</v>
      </c>
    </row>
    <row r="46" spans="1:2" x14ac:dyDescent="0.35">
      <c r="A46" s="3">
        <v>44634</v>
      </c>
      <c r="B46" s="4">
        <v>952604880.81931138</v>
      </c>
    </row>
    <row r="47" spans="1:2" x14ac:dyDescent="0.35">
      <c r="A47" s="3">
        <v>44635</v>
      </c>
      <c r="B47" s="4">
        <v>952833998.25283933</v>
      </c>
    </row>
    <row r="48" spans="1:2" x14ac:dyDescent="0.35">
      <c r="A48" s="3">
        <v>44636</v>
      </c>
      <c r="B48" s="4">
        <v>956147480.05186749</v>
      </c>
    </row>
    <row r="49" spans="1:2" x14ac:dyDescent="0.35">
      <c r="A49" s="3">
        <v>44637</v>
      </c>
      <c r="B49" s="4">
        <v>962991150.82514119</v>
      </c>
    </row>
    <row r="50" spans="1:2" x14ac:dyDescent="0.35">
      <c r="A50" s="3">
        <v>44638</v>
      </c>
      <c r="B50" s="4">
        <v>962793619.775509</v>
      </c>
    </row>
    <row r="51" spans="1:2" x14ac:dyDescent="0.35">
      <c r="A51" s="3">
        <v>44641</v>
      </c>
      <c r="B51" s="4">
        <v>963335450.43394184</v>
      </c>
    </row>
    <row r="52" spans="1:2" x14ac:dyDescent="0.35">
      <c r="A52" s="3">
        <v>44642</v>
      </c>
      <c r="B52" s="4">
        <v>962148383.38507426</v>
      </c>
    </row>
    <row r="53" spans="1:2" x14ac:dyDescent="0.35">
      <c r="A53" s="3">
        <v>44643</v>
      </c>
      <c r="B53" s="4">
        <v>961731231.13912225</v>
      </c>
    </row>
    <row r="54" spans="1:2" x14ac:dyDescent="0.35">
      <c r="A54" s="3">
        <v>44644</v>
      </c>
      <c r="B54" s="4">
        <v>963386557.85063922</v>
      </c>
    </row>
    <row r="55" spans="1:2" x14ac:dyDescent="0.35">
      <c r="A55" s="3">
        <v>44645</v>
      </c>
      <c r="B55" s="4">
        <v>961776071.75412464</v>
      </c>
    </row>
    <row r="56" spans="1:2" x14ac:dyDescent="0.35">
      <c r="A56" s="3">
        <v>44648</v>
      </c>
      <c r="B56" s="4">
        <v>953455256.90472376</v>
      </c>
    </row>
    <row r="57" spans="1:2" x14ac:dyDescent="0.35">
      <c r="A57" s="3">
        <v>44649</v>
      </c>
      <c r="B57" s="4">
        <v>962483687.85782552</v>
      </c>
    </row>
    <row r="58" spans="1:2" x14ac:dyDescent="0.35">
      <c r="A58" s="3">
        <v>44650</v>
      </c>
      <c r="B58" s="4">
        <v>963293030.15333796</v>
      </c>
    </row>
    <row r="59" spans="1:2" x14ac:dyDescent="0.35">
      <c r="A59" s="3">
        <v>44651</v>
      </c>
      <c r="B59" s="4">
        <v>964194200.07761312</v>
      </c>
    </row>
    <row r="60" spans="1:2" x14ac:dyDescent="0.35">
      <c r="A60" s="3">
        <v>44652</v>
      </c>
      <c r="B60" s="4">
        <v>964194200</v>
      </c>
    </row>
    <row r="61" spans="1:2" x14ac:dyDescent="0.35">
      <c r="A61" s="3">
        <v>44655</v>
      </c>
      <c r="B61" s="4">
        <v>963797592.85550427</v>
      </c>
    </row>
    <row r="62" spans="1:2" x14ac:dyDescent="0.35">
      <c r="A62" s="3">
        <v>44656</v>
      </c>
      <c r="B62" s="4">
        <v>962135769.79147172</v>
      </c>
    </row>
    <row r="63" spans="1:2" x14ac:dyDescent="0.35">
      <c r="A63" s="3">
        <v>44657</v>
      </c>
      <c r="B63" s="4">
        <v>944838437.04908133</v>
      </c>
    </row>
    <row r="64" spans="1:2" x14ac:dyDescent="0.35">
      <c r="A64" s="3">
        <v>44658</v>
      </c>
      <c r="B64" s="4">
        <v>932084698.23908913</v>
      </c>
    </row>
    <row r="65" spans="1:2" x14ac:dyDescent="0.35">
      <c r="A65" s="3">
        <v>44659</v>
      </c>
      <c r="B65" s="4">
        <v>906900345.81091011</v>
      </c>
    </row>
    <row r="66" spans="1:2" x14ac:dyDescent="0.35">
      <c r="A66" s="3">
        <v>44663</v>
      </c>
      <c r="B66" s="4">
        <v>883005781.05039895</v>
      </c>
    </row>
    <row r="67" spans="1:2" x14ac:dyDescent="0.35">
      <c r="A67" s="3">
        <v>44664</v>
      </c>
      <c r="B67" s="4">
        <v>900197292.77725983</v>
      </c>
    </row>
    <row r="68" spans="1:2" x14ac:dyDescent="0.35">
      <c r="A68" s="3">
        <v>44665</v>
      </c>
      <c r="B68" s="4">
        <v>903081338.15192032</v>
      </c>
    </row>
    <row r="69" spans="1:2" x14ac:dyDescent="0.35">
      <c r="A69" s="3">
        <v>44666</v>
      </c>
      <c r="B69" s="4">
        <v>905082804.20435035</v>
      </c>
    </row>
    <row r="70" spans="1:2" x14ac:dyDescent="0.35">
      <c r="A70" s="3">
        <v>44669</v>
      </c>
      <c r="B70" s="4">
        <v>897525116.56416571</v>
      </c>
    </row>
    <row r="71" spans="1:2" x14ac:dyDescent="0.35">
      <c r="A71" s="3">
        <v>44670</v>
      </c>
      <c r="B71" s="4">
        <v>889438032.71659708</v>
      </c>
    </row>
    <row r="72" spans="1:2" x14ac:dyDescent="0.35">
      <c r="A72" s="3">
        <v>44671</v>
      </c>
      <c r="B72" s="4">
        <v>875263387.19931483</v>
      </c>
    </row>
    <row r="73" spans="1:2" x14ac:dyDescent="0.35">
      <c r="A73" s="3">
        <v>44672</v>
      </c>
      <c r="B73" s="4">
        <v>870353133.70644844</v>
      </c>
    </row>
    <row r="74" spans="1:2" x14ac:dyDescent="0.35">
      <c r="A74" s="3">
        <v>44673</v>
      </c>
      <c r="B74" s="4">
        <v>866602875.36588001</v>
      </c>
    </row>
    <row r="75" spans="1:2" x14ac:dyDescent="0.35">
      <c r="A75" s="3">
        <v>44676</v>
      </c>
      <c r="B75" s="4">
        <v>845143111.24861193</v>
      </c>
    </row>
    <row r="76" spans="1:2" x14ac:dyDescent="0.35">
      <c r="A76" s="3">
        <v>44677</v>
      </c>
      <c r="B76" s="4">
        <v>850317112.90480101</v>
      </c>
    </row>
    <row r="77" spans="1:2" x14ac:dyDescent="0.35">
      <c r="A77" s="3">
        <v>44678</v>
      </c>
      <c r="B77" s="4">
        <v>851129009.58422804</v>
      </c>
    </row>
    <row r="78" spans="1:2" x14ac:dyDescent="0.35">
      <c r="A78" s="3">
        <v>44679</v>
      </c>
      <c r="B78" s="4">
        <v>851382645.32494557</v>
      </c>
    </row>
    <row r="79" spans="1:2" x14ac:dyDescent="0.35">
      <c r="A79" s="3">
        <v>44680</v>
      </c>
      <c r="B79" s="4">
        <v>856713636.59037364</v>
      </c>
    </row>
    <row r="80" spans="1:2" x14ac:dyDescent="0.35">
      <c r="A80" s="3">
        <v>44685</v>
      </c>
      <c r="B80" s="4">
        <v>852854124.35782194</v>
      </c>
    </row>
    <row r="81" spans="1:2" x14ac:dyDescent="0.35">
      <c r="A81" s="3">
        <v>44686</v>
      </c>
      <c r="B81" s="4">
        <v>851888330.45222282</v>
      </c>
    </row>
    <row r="82" spans="1:2" x14ac:dyDescent="0.35">
      <c r="A82" s="3">
        <v>44687</v>
      </c>
      <c r="B82" s="4">
        <v>848124631.26571071</v>
      </c>
    </row>
    <row r="83" spans="1:2" x14ac:dyDescent="0.35">
      <c r="A83" s="3">
        <v>44690</v>
      </c>
      <c r="B83" s="4">
        <v>827462687.9345243</v>
      </c>
    </row>
    <row r="84" spans="1:2" x14ac:dyDescent="0.35">
      <c r="A84" s="3">
        <v>44691</v>
      </c>
      <c r="B84" s="4">
        <v>832388870.45330858</v>
      </c>
    </row>
    <row r="85" spans="1:2" x14ac:dyDescent="0.35">
      <c r="A85" s="3">
        <v>44692</v>
      </c>
      <c r="B85" s="4">
        <v>831614543.79859662</v>
      </c>
    </row>
    <row r="86" spans="1:2" x14ac:dyDescent="0.35">
      <c r="A86" s="3">
        <v>44693</v>
      </c>
      <c r="B86" s="4">
        <v>814364547.35941362</v>
      </c>
    </row>
    <row r="87" spans="1:2" x14ac:dyDescent="0.35">
      <c r="A87" s="3">
        <v>44694</v>
      </c>
      <c r="B87" s="4">
        <v>804791535.43700862</v>
      </c>
    </row>
    <row r="88" spans="1:2" x14ac:dyDescent="0.35">
      <c r="A88" s="3">
        <v>44697</v>
      </c>
      <c r="B88" s="4">
        <v>805379781.25530934</v>
      </c>
    </row>
    <row r="89" spans="1:2" x14ac:dyDescent="0.35">
      <c r="A89" s="3">
        <v>44698</v>
      </c>
      <c r="B89" s="4">
        <v>805605599.79617989</v>
      </c>
    </row>
    <row r="90" spans="1:2" x14ac:dyDescent="0.35">
      <c r="A90" s="3">
        <v>44699</v>
      </c>
      <c r="B90" s="4">
        <v>809360416.91674137</v>
      </c>
    </row>
    <row r="91" spans="1:2" x14ac:dyDescent="0.35">
      <c r="A91" s="3">
        <v>44700</v>
      </c>
      <c r="B91" s="4">
        <v>806642555.1284734</v>
      </c>
    </row>
    <row r="92" spans="1:2" x14ac:dyDescent="0.35">
      <c r="A92" s="3">
        <v>44701</v>
      </c>
      <c r="B92" s="4">
        <v>808315085.45971525</v>
      </c>
    </row>
    <row r="93" spans="1:2" x14ac:dyDescent="0.35">
      <c r="A93" s="3">
        <v>44704</v>
      </c>
      <c r="B93" s="4">
        <v>808733218.04252577</v>
      </c>
    </row>
    <row r="94" spans="1:2" x14ac:dyDescent="0.35">
      <c r="A94" s="3">
        <v>44705</v>
      </c>
      <c r="B94" s="4">
        <v>808624509.7176429</v>
      </c>
    </row>
    <row r="95" spans="1:2" x14ac:dyDescent="0.35">
      <c r="A95" s="3">
        <v>44706</v>
      </c>
      <c r="B95" s="4">
        <v>811869212.41360414</v>
      </c>
    </row>
    <row r="96" spans="1:2" x14ac:dyDescent="0.35">
      <c r="A96" s="3">
        <v>44707</v>
      </c>
      <c r="B96" s="4">
        <v>815113940.8759377</v>
      </c>
    </row>
    <row r="97" spans="1:2" x14ac:dyDescent="0.35">
      <c r="A97" s="3">
        <v>44708</v>
      </c>
      <c r="B97" s="4">
        <v>815548825.70821357</v>
      </c>
    </row>
    <row r="98" spans="1:2" x14ac:dyDescent="0.35">
      <c r="A98" s="3">
        <v>44711</v>
      </c>
      <c r="B98" s="4">
        <v>814503494.25118744</v>
      </c>
    </row>
    <row r="99" spans="1:2" x14ac:dyDescent="0.35">
      <c r="A99" s="3">
        <v>44712</v>
      </c>
      <c r="B99" s="4">
        <v>813859543.12750626</v>
      </c>
    </row>
    <row r="100" spans="1:2" x14ac:dyDescent="0.35">
      <c r="A100" s="3">
        <v>44713</v>
      </c>
      <c r="B100" s="4">
        <v>813759185.16098392</v>
      </c>
    </row>
    <row r="101" spans="1:2" x14ac:dyDescent="0.35">
      <c r="A101" s="3">
        <v>44714</v>
      </c>
      <c r="B101" s="4">
        <v>813550118.8695786</v>
      </c>
    </row>
    <row r="102" spans="1:2" x14ac:dyDescent="0.35">
      <c r="A102" s="3">
        <v>44715</v>
      </c>
      <c r="B102" s="4">
        <v>813341052.5781734</v>
      </c>
    </row>
    <row r="103" spans="1:2" x14ac:dyDescent="0.35">
      <c r="A103" s="3">
        <v>44718</v>
      </c>
      <c r="B103" s="4">
        <v>808945527.91108549</v>
      </c>
    </row>
    <row r="104" spans="1:2" x14ac:dyDescent="0.35">
      <c r="A104" s="3">
        <v>44719</v>
      </c>
      <c r="B104" s="4">
        <v>815790439.03532577</v>
      </c>
    </row>
    <row r="105" spans="1:2" x14ac:dyDescent="0.35">
      <c r="A105" s="3">
        <v>44720</v>
      </c>
      <c r="B105" s="4">
        <v>817507422.52001715</v>
      </c>
    </row>
    <row r="106" spans="1:2" x14ac:dyDescent="0.35">
      <c r="A106" s="3">
        <v>44721</v>
      </c>
      <c r="B106" s="4">
        <v>820063673.60030961</v>
      </c>
    </row>
    <row r="107" spans="1:2" x14ac:dyDescent="0.35">
      <c r="A107" s="3">
        <v>44722</v>
      </c>
      <c r="B107" s="4">
        <v>819136797.47562575</v>
      </c>
    </row>
    <row r="108" spans="1:2" x14ac:dyDescent="0.35">
      <c r="A108" s="3">
        <v>44725</v>
      </c>
      <c r="B108" s="4">
        <v>815941173.59214926</v>
      </c>
    </row>
    <row r="109" spans="1:2" x14ac:dyDescent="0.35">
      <c r="A109" s="3">
        <v>44726</v>
      </c>
      <c r="B109" s="4">
        <v>809085784.43542969</v>
      </c>
    </row>
    <row r="110" spans="1:2" x14ac:dyDescent="0.35">
      <c r="A110" s="3">
        <v>44727</v>
      </c>
      <c r="B110" s="4">
        <v>810108190.54384279</v>
      </c>
    </row>
    <row r="111" spans="1:2" x14ac:dyDescent="0.35">
      <c r="A111" s="3">
        <v>44728</v>
      </c>
      <c r="B111" s="4">
        <v>806712596.5677954</v>
      </c>
    </row>
    <row r="112" spans="1:2" x14ac:dyDescent="0.35">
      <c r="A112" s="3">
        <v>44729</v>
      </c>
      <c r="B112" s="4">
        <v>801415422.5090785</v>
      </c>
    </row>
    <row r="113" spans="1:2" x14ac:dyDescent="0.35">
      <c r="A113" s="3">
        <v>44732</v>
      </c>
      <c r="B113" s="4">
        <v>800872124.50690579</v>
      </c>
    </row>
    <row r="114" spans="1:2" x14ac:dyDescent="0.35">
      <c r="A114" s="3">
        <v>44733</v>
      </c>
      <c r="B114" s="4">
        <v>803739398.50594664</v>
      </c>
    </row>
    <row r="115" spans="1:2" x14ac:dyDescent="0.35">
      <c r="A115" s="3">
        <v>44734</v>
      </c>
      <c r="B115" s="4">
        <v>801702012.46026623</v>
      </c>
    </row>
    <row r="116" spans="1:2" x14ac:dyDescent="0.35">
      <c r="A116" s="3">
        <v>44735</v>
      </c>
      <c r="B116" s="4">
        <v>802084132.39518309</v>
      </c>
    </row>
    <row r="117" spans="1:2" x14ac:dyDescent="0.35">
      <c r="A117" s="3">
        <v>44736</v>
      </c>
      <c r="B117" s="4">
        <v>801948326.43217242</v>
      </c>
    </row>
    <row r="118" spans="1:2" x14ac:dyDescent="0.35">
      <c r="A118" s="3">
        <v>44739</v>
      </c>
      <c r="B118" s="4">
        <v>802619978.45983779</v>
      </c>
    </row>
    <row r="119" spans="1:2" x14ac:dyDescent="0.35">
      <c r="A119" s="3">
        <v>44740</v>
      </c>
      <c r="B119" s="4">
        <v>804594621.48848724</v>
      </c>
    </row>
    <row r="120" spans="1:2" x14ac:dyDescent="0.35">
      <c r="A120" s="3">
        <v>44741</v>
      </c>
      <c r="B120" s="4">
        <v>804227442.50367153</v>
      </c>
    </row>
    <row r="121" spans="1:2" x14ac:dyDescent="0.35">
      <c r="A121" s="3">
        <v>44742</v>
      </c>
      <c r="B121" s="4">
        <v>803508025.48414171</v>
      </c>
    </row>
    <row r="122" spans="1:2" x14ac:dyDescent="0.35">
      <c r="A122" s="3">
        <v>44743</v>
      </c>
      <c r="B122" s="4">
        <v>803508024.99999988</v>
      </c>
    </row>
    <row r="123" spans="1:2" x14ac:dyDescent="0.35">
      <c r="A123" s="3">
        <v>44746</v>
      </c>
      <c r="B123" s="4">
        <v>792199141.58257496</v>
      </c>
    </row>
    <row r="124" spans="1:2" x14ac:dyDescent="0.35">
      <c r="A124" s="3">
        <v>44747</v>
      </c>
      <c r="B124" s="4">
        <v>778005611.19044447</v>
      </c>
    </row>
    <row r="125" spans="1:2" x14ac:dyDescent="0.35">
      <c r="A125" s="3">
        <v>44748</v>
      </c>
      <c r="B125" s="4">
        <v>761562971.10059524</v>
      </c>
    </row>
    <row r="126" spans="1:2" x14ac:dyDescent="0.35">
      <c r="A126" s="3">
        <v>44749</v>
      </c>
      <c r="B126" s="4">
        <v>767827200.25753522</v>
      </c>
    </row>
    <row r="127" spans="1:2" x14ac:dyDescent="0.35">
      <c r="A127" s="15">
        <v>44750</v>
      </c>
      <c r="B127" s="16">
        <v>773157428.81610584</v>
      </c>
    </row>
    <row r="128" spans="1:2" x14ac:dyDescent="0.35">
      <c r="A128" s="3">
        <v>44753</v>
      </c>
      <c r="B128" s="4">
        <v>775433464.25075531</v>
      </c>
    </row>
    <row r="129" spans="1:2" x14ac:dyDescent="0.35">
      <c r="A129" s="3">
        <v>44754</v>
      </c>
      <c r="B129" s="4">
        <v>782339690.76867747</v>
      </c>
    </row>
    <row r="130" spans="1:2" x14ac:dyDescent="0.35">
      <c r="A130" s="3">
        <v>44755</v>
      </c>
      <c r="B130" s="4">
        <v>781889624.04974437</v>
      </c>
    </row>
    <row r="131" spans="1:2" x14ac:dyDescent="0.35">
      <c r="A131" s="3">
        <v>44756</v>
      </c>
      <c r="B131" s="4">
        <v>791145293.52149415</v>
      </c>
    </row>
    <row r="132" spans="1:2" x14ac:dyDescent="0.35">
      <c r="A132" s="15">
        <v>44757</v>
      </c>
      <c r="B132" s="16">
        <v>795855985.27754092</v>
      </c>
    </row>
    <row r="133" spans="1:2" x14ac:dyDescent="0.35">
      <c r="A133" s="3">
        <v>44760</v>
      </c>
      <c r="B133" s="4">
        <v>798082435.00555301</v>
      </c>
    </row>
    <row r="134" spans="1:2" x14ac:dyDescent="0.35">
      <c r="A134" s="3">
        <v>44761</v>
      </c>
      <c r="B134" s="4">
        <v>798749592.30018854</v>
      </c>
    </row>
    <row r="135" spans="1:2" x14ac:dyDescent="0.35">
      <c r="A135" s="3">
        <v>44762</v>
      </c>
      <c r="B135" s="4">
        <v>808376575.37757158</v>
      </c>
    </row>
    <row r="136" spans="1:2" x14ac:dyDescent="0.35">
      <c r="A136" s="3">
        <v>44763</v>
      </c>
      <c r="B136" s="4">
        <v>810718606.82135868</v>
      </c>
    </row>
    <row r="137" spans="1:2" x14ac:dyDescent="0.35">
      <c r="A137" s="3">
        <v>44764</v>
      </c>
      <c r="B137" s="4">
        <v>815993293.40154338</v>
      </c>
    </row>
    <row r="138" spans="1:2" x14ac:dyDescent="0.35">
      <c r="A138" s="3">
        <v>44767</v>
      </c>
      <c r="B138" s="4">
        <v>817929278.89405036</v>
      </c>
    </row>
    <row r="139" spans="1:2" x14ac:dyDescent="0.35">
      <c r="A139" s="3">
        <v>44768</v>
      </c>
      <c r="B139" s="4">
        <v>819116957.78686619</v>
      </c>
    </row>
    <row r="140" spans="1:2" x14ac:dyDescent="0.35">
      <c r="A140" s="3">
        <v>44769</v>
      </c>
      <c r="B140" s="4">
        <v>824668622.3056941</v>
      </c>
    </row>
    <row r="141" spans="1:2" x14ac:dyDescent="0.35">
      <c r="A141" s="3">
        <v>44770</v>
      </c>
      <c r="B141" s="4">
        <v>833792509.86894464</v>
      </c>
    </row>
    <row r="142" spans="1:2" x14ac:dyDescent="0.35">
      <c r="A142" s="3">
        <v>44771</v>
      </c>
      <c r="B142" s="4">
        <v>834502115.695508</v>
      </c>
    </row>
    <row r="143" spans="1:2" x14ac:dyDescent="0.35">
      <c r="A143" s="3">
        <v>44774</v>
      </c>
      <c r="B143" s="4">
        <v>838458411.13496447</v>
      </c>
    </row>
    <row r="144" spans="1:2" x14ac:dyDescent="0.35">
      <c r="A144" s="3">
        <v>44775</v>
      </c>
      <c r="B144" s="4">
        <v>837309273.77397394</v>
      </c>
    </row>
    <row r="145" spans="1:2" x14ac:dyDescent="0.35">
      <c r="A145" s="3">
        <v>44776</v>
      </c>
      <c r="B145" s="4">
        <v>834794275.34354591</v>
      </c>
    </row>
    <row r="146" spans="1:2" x14ac:dyDescent="0.35">
      <c r="A146" s="3">
        <v>44777</v>
      </c>
      <c r="B146" s="4">
        <v>835247698.3369875</v>
      </c>
    </row>
    <row r="147" spans="1:2" x14ac:dyDescent="0.35">
      <c r="A147" s="3">
        <v>44778</v>
      </c>
      <c r="B147" s="4">
        <v>833679514.9086585</v>
      </c>
    </row>
    <row r="148" spans="1:2" x14ac:dyDescent="0.35">
      <c r="A148" s="3">
        <v>44781</v>
      </c>
      <c r="B148" s="4">
        <v>834753575.74743533</v>
      </c>
    </row>
    <row r="149" spans="1:2" x14ac:dyDescent="0.35">
      <c r="A149" s="3">
        <v>44782</v>
      </c>
      <c r="B149" s="4">
        <v>836188043.68190718</v>
      </c>
    </row>
    <row r="150" spans="1:2" x14ac:dyDescent="0.35">
      <c r="A150" s="3">
        <v>44783</v>
      </c>
      <c r="B150" s="4">
        <v>835518819.19779468</v>
      </c>
    </row>
    <row r="151" spans="1:2" x14ac:dyDescent="0.35">
      <c r="A151" s="3">
        <v>44784</v>
      </c>
      <c r="B151" s="4">
        <v>833257748.04831815</v>
      </c>
    </row>
    <row r="152" spans="1:2" x14ac:dyDescent="0.35">
      <c r="A152" s="3">
        <v>44785</v>
      </c>
      <c r="B152" s="4">
        <v>831391765.72950768</v>
      </c>
    </row>
    <row r="153" spans="1:2" x14ac:dyDescent="0.35">
      <c r="A153" s="3">
        <v>44788</v>
      </c>
      <c r="B153" s="4">
        <v>831473561.69313121</v>
      </c>
    </row>
    <row r="154" spans="1:2" x14ac:dyDescent="0.35">
      <c r="A154" s="3">
        <v>44789</v>
      </c>
      <c r="B154" s="4">
        <v>834811488.34271383</v>
      </c>
    </row>
    <row r="155" spans="1:2" x14ac:dyDescent="0.35">
      <c r="A155" s="3">
        <v>44790</v>
      </c>
      <c r="B155" s="4">
        <v>832217660.84550714</v>
      </c>
    </row>
    <row r="156" spans="1:2" x14ac:dyDescent="0.35">
      <c r="A156" s="3">
        <v>44791</v>
      </c>
      <c r="B156" s="4">
        <v>834014213.05158925</v>
      </c>
    </row>
    <row r="157" spans="1:2" x14ac:dyDescent="0.35">
      <c r="A157" s="3">
        <v>44792</v>
      </c>
      <c r="B157" s="4">
        <v>833878257.06700277</v>
      </c>
    </row>
    <row r="158" spans="1:2" x14ac:dyDescent="0.35">
      <c r="A158" s="3">
        <v>44795</v>
      </c>
      <c r="B158" s="4">
        <v>832170285.98738837</v>
      </c>
    </row>
    <row r="159" spans="1:2" x14ac:dyDescent="0.35">
      <c r="A159" s="3">
        <v>44796</v>
      </c>
      <c r="B159" s="4">
        <v>833175445.49932504</v>
      </c>
    </row>
    <row r="160" spans="1:2" x14ac:dyDescent="0.35">
      <c r="A160" s="3">
        <v>44797</v>
      </c>
      <c r="B160" s="4">
        <v>837881396.81109643</v>
      </c>
    </row>
    <row r="161" spans="1:2" x14ac:dyDescent="0.35">
      <c r="A161" s="3">
        <v>44798</v>
      </c>
      <c r="B161" s="4">
        <v>840991684.75892806</v>
      </c>
    </row>
    <row r="162" spans="1:2" x14ac:dyDescent="0.35">
      <c r="A162" s="3">
        <v>44799</v>
      </c>
      <c r="B162" s="4">
        <v>840671069.09592485</v>
      </c>
    </row>
    <row r="163" spans="1:2" x14ac:dyDescent="0.35">
      <c r="A163" s="3">
        <v>44802</v>
      </c>
      <c r="B163" s="4">
        <v>838520585.60854363</v>
      </c>
    </row>
    <row r="164" spans="1:2" x14ac:dyDescent="0.35">
      <c r="A164" s="3">
        <v>44803</v>
      </c>
      <c r="B164" s="4">
        <v>843896588.54763556</v>
      </c>
    </row>
    <row r="165" spans="1:2" x14ac:dyDescent="0.35">
      <c r="A165" s="3">
        <v>44804</v>
      </c>
      <c r="B165" s="4">
        <v>844381944.63240242</v>
      </c>
    </row>
    <row r="166" spans="1:2" x14ac:dyDescent="0.35">
      <c r="A166" s="3">
        <v>44809</v>
      </c>
      <c r="B166" s="4">
        <v>843434616.10577369</v>
      </c>
    </row>
    <row r="167" spans="1:2" x14ac:dyDescent="0.35">
      <c r="A167" s="3">
        <v>44810</v>
      </c>
      <c r="B167" s="4">
        <v>844020041.98958755</v>
      </c>
    </row>
    <row r="168" spans="1:2" x14ac:dyDescent="0.35">
      <c r="A168" s="3">
        <v>44811</v>
      </c>
      <c r="B168" s="4">
        <v>840649037.03472781</v>
      </c>
    </row>
    <row r="169" spans="1:2" x14ac:dyDescent="0.35">
      <c r="A169" s="3">
        <v>44812</v>
      </c>
      <c r="B169" s="4">
        <v>841220277.0353384</v>
      </c>
    </row>
    <row r="170" spans="1:2" x14ac:dyDescent="0.35">
      <c r="A170" s="3">
        <v>44813</v>
      </c>
      <c r="B170" s="4">
        <v>842595378.35251617</v>
      </c>
    </row>
    <row r="171" spans="1:2" x14ac:dyDescent="0.35">
      <c r="A171" s="3">
        <v>44816</v>
      </c>
      <c r="B171" s="4">
        <v>844208239.89983463</v>
      </c>
    </row>
    <row r="172" spans="1:2" x14ac:dyDescent="0.35">
      <c r="A172" s="3">
        <v>44817</v>
      </c>
      <c r="B172" s="4">
        <v>844661200.82793355</v>
      </c>
    </row>
    <row r="173" spans="1:2" x14ac:dyDescent="0.35">
      <c r="A173" s="3">
        <v>44818</v>
      </c>
      <c r="B173" s="4">
        <v>841862755.08734775</v>
      </c>
    </row>
    <row r="174" spans="1:2" x14ac:dyDescent="0.35">
      <c r="A174" s="3">
        <v>44819</v>
      </c>
      <c r="B174" s="4">
        <v>842269316.76279831</v>
      </c>
    </row>
    <row r="175" spans="1:2" x14ac:dyDescent="0.35">
      <c r="A175" s="3">
        <v>44820</v>
      </c>
      <c r="B175" s="4">
        <v>841477082.8815217</v>
      </c>
    </row>
    <row r="176" spans="1:2" x14ac:dyDescent="0.35">
      <c r="A176" s="3">
        <v>44823</v>
      </c>
      <c r="B176" s="4">
        <v>840834169.52926183</v>
      </c>
    </row>
    <row r="177" spans="1:2" x14ac:dyDescent="0.35">
      <c r="A177" s="3">
        <v>44824</v>
      </c>
      <c r="B177" s="4">
        <v>843121799.49084854</v>
      </c>
    </row>
    <row r="178" spans="1:2" x14ac:dyDescent="0.35">
      <c r="A178" s="3">
        <v>44825</v>
      </c>
      <c r="B178" s="4">
        <v>841709566.71619129</v>
      </c>
    </row>
    <row r="179" spans="1:2" x14ac:dyDescent="0.35">
      <c r="A179" s="3">
        <v>44826</v>
      </c>
      <c r="B179" s="4">
        <v>842036975.96963787</v>
      </c>
    </row>
    <row r="180" spans="1:2" x14ac:dyDescent="0.35">
      <c r="A180" s="3">
        <v>44827</v>
      </c>
      <c r="B180" s="4">
        <v>844657749.05984735</v>
      </c>
    </row>
    <row r="181" spans="1:2" x14ac:dyDescent="0.35">
      <c r="A181" s="3">
        <v>44830</v>
      </c>
      <c r="B181" s="4">
        <v>839414399.37723827</v>
      </c>
    </row>
    <row r="182" spans="1:2" x14ac:dyDescent="0.35">
      <c r="A182" s="3">
        <v>44831</v>
      </c>
      <c r="B182" s="4">
        <v>840019119.19308329</v>
      </c>
    </row>
    <row r="183" spans="1:2" x14ac:dyDescent="0.35">
      <c r="A183" s="3">
        <v>44832</v>
      </c>
      <c r="B183" s="4">
        <v>840465429.10086346</v>
      </c>
    </row>
    <row r="184" spans="1:2" x14ac:dyDescent="0.35">
      <c r="A184" s="3">
        <v>44833</v>
      </c>
      <c r="B184" s="4">
        <v>841069092.41615772</v>
      </c>
    </row>
    <row r="185" spans="1:2" x14ac:dyDescent="0.35">
      <c r="A185" s="3">
        <v>44834</v>
      </c>
      <c r="B185" s="4">
        <v>842604217.86402059</v>
      </c>
    </row>
    <row r="186" spans="1:2" x14ac:dyDescent="0.35">
      <c r="A186" s="3">
        <v>44837</v>
      </c>
      <c r="B186" s="4">
        <v>842604218</v>
      </c>
    </row>
    <row r="187" spans="1:2" x14ac:dyDescent="0.35">
      <c r="A187" s="3">
        <v>44838</v>
      </c>
      <c r="B187" s="4">
        <v>855938677.89530587</v>
      </c>
    </row>
    <row r="188" spans="1:2" x14ac:dyDescent="0.35">
      <c r="A188" s="3">
        <v>44839</v>
      </c>
      <c r="B188" s="4">
        <v>858456390.22699821</v>
      </c>
    </row>
    <row r="189" spans="1:2" x14ac:dyDescent="0.35">
      <c r="A189" s="3">
        <v>44840</v>
      </c>
      <c r="B189" s="4">
        <v>839575643.96410036</v>
      </c>
    </row>
    <row r="190" spans="1:2" x14ac:dyDescent="0.35">
      <c r="A190" s="3">
        <v>44841</v>
      </c>
      <c r="B190" s="4">
        <v>837668233.47485089</v>
      </c>
    </row>
    <row r="191" spans="1:2" x14ac:dyDescent="0.35">
      <c r="A191" s="3">
        <v>44844</v>
      </c>
      <c r="B191" s="4">
        <v>830836164.9124198</v>
      </c>
    </row>
    <row r="192" spans="1:2" x14ac:dyDescent="0.35">
      <c r="A192" s="3">
        <v>44845</v>
      </c>
      <c r="B192" s="4">
        <v>817966841.74430358</v>
      </c>
    </row>
    <row r="193" spans="1:2" x14ac:dyDescent="0.35">
      <c r="A193" s="3">
        <v>44846</v>
      </c>
      <c r="B193" s="4">
        <v>825558193.75643265</v>
      </c>
    </row>
    <row r="194" spans="1:2" x14ac:dyDescent="0.35">
      <c r="A194" s="3">
        <v>44847</v>
      </c>
      <c r="B194" s="4">
        <v>837857607.1723094</v>
      </c>
    </row>
    <row r="195" spans="1:2" x14ac:dyDescent="0.35">
      <c r="A195" s="3">
        <v>44848</v>
      </c>
      <c r="B195" s="4">
        <v>837350339.27468157</v>
      </c>
    </row>
    <row r="196" spans="1:2" x14ac:dyDescent="0.35">
      <c r="A196" s="3">
        <v>44851</v>
      </c>
      <c r="B196" s="4">
        <v>835751068.82438827</v>
      </c>
    </row>
    <row r="197" spans="1:2" x14ac:dyDescent="0.35">
      <c r="A197" s="3">
        <v>44852</v>
      </c>
      <c r="B197" s="4">
        <v>837552085.84829903</v>
      </c>
    </row>
    <row r="198" spans="1:2" x14ac:dyDescent="0.35">
      <c r="A198" s="3">
        <v>44853</v>
      </c>
      <c r="B198" s="4">
        <v>835800158.96486831</v>
      </c>
    </row>
    <row r="199" spans="1:2" x14ac:dyDescent="0.35">
      <c r="A199" s="3">
        <v>44854</v>
      </c>
      <c r="B199" s="4">
        <v>836343317.76737392</v>
      </c>
    </row>
    <row r="200" spans="1:2" x14ac:dyDescent="0.35">
      <c r="A200" s="3">
        <v>44855</v>
      </c>
      <c r="B200" s="4">
        <v>828396719.71598732</v>
      </c>
    </row>
    <row r="201" spans="1:2" x14ac:dyDescent="0.35">
      <c r="A201" s="3">
        <v>44858</v>
      </c>
      <c r="B201" s="4">
        <v>815324175.75897586</v>
      </c>
    </row>
    <row r="202" spans="1:2" x14ac:dyDescent="0.35">
      <c r="A202" s="3">
        <v>44859</v>
      </c>
      <c r="B202" s="4">
        <v>823165359.53530669</v>
      </c>
    </row>
    <row r="203" spans="1:2" x14ac:dyDescent="0.35">
      <c r="A203" s="3">
        <v>44860</v>
      </c>
      <c r="B203" s="4">
        <v>823836355.7727071</v>
      </c>
    </row>
    <row r="204" spans="1:2" x14ac:dyDescent="0.35">
      <c r="A204" s="3">
        <v>44861</v>
      </c>
      <c r="B204" s="4">
        <v>829924920.03750074</v>
      </c>
    </row>
    <row r="205" spans="1:2" x14ac:dyDescent="0.35">
      <c r="A205" s="3">
        <v>44862</v>
      </c>
      <c r="B205" s="4">
        <v>832558971.29271746</v>
      </c>
    </row>
    <row r="206" spans="1:2" x14ac:dyDescent="0.35">
      <c r="A206" s="3">
        <v>44865</v>
      </c>
      <c r="B206" s="4">
        <v>831494536.4829824</v>
      </c>
    </row>
    <row r="207" spans="1:2" x14ac:dyDescent="0.35">
      <c r="A207" s="3">
        <v>44866</v>
      </c>
      <c r="B207" s="4">
        <v>837667964.03527856</v>
      </c>
    </row>
    <row r="208" spans="1:2" x14ac:dyDescent="0.35">
      <c r="A208" s="3">
        <v>44867</v>
      </c>
      <c r="B208" s="4">
        <v>836215156.66138005</v>
      </c>
    </row>
    <row r="209" spans="1:2" x14ac:dyDescent="0.35">
      <c r="A209" s="3">
        <v>44868</v>
      </c>
      <c r="B209" s="4">
        <v>830600800.77026057</v>
      </c>
    </row>
    <row r="210" spans="1:2" x14ac:dyDescent="0.35">
      <c r="A210" s="3">
        <v>44869</v>
      </c>
      <c r="B210" s="4">
        <v>828956604.12371719</v>
      </c>
    </row>
    <row r="211" spans="1:2" x14ac:dyDescent="0.35">
      <c r="A211" s="3">
        <v>44872</v>
      </c>
      <c r="B211" s="4">
        <v>825325183.20208561</v>
      </c>
    </row>
    <row r="212" spans="1:2" x14ac:dyDescent="0.35">
      <c r="A212" s="3">
        <v>44873</v>
      </c>
      <c r="B212" s="4">
        <v>820337110.05124784</v>
      </c>
    </row>
    <row r="213" spans="1:2" x14ac:dyDescent="0.35">
      <c r="A213" s="3">
        <v>44874</v>
      </c>
      <c r="B213" s="4">
        <v>826821359.00706589</v>
      </c>
    </row>
    <row r="214" spans="1:2" x14ac:dyDescent="0.35">
      <c r="A214" s="3">
        <v>44875</v>
      </c>
      <c r="B214" s="4">
        <v>811228835.67807901</v>
      </c>
    </row>
    <row r="215" spans="1:2" x14ac:dyDescent="0.35">
      <c r="A215" s="3">
        <v>44876</v>
      </c>
      <c r="B215" s="4">
        <v>817072436.5980196</v>
      </c>
    </row>
    <row r="216" spans="1:2" x14ac:dyDescent="0.35">
      <c r="A216" s="3">
        <v>44879</v>
      </c>
      <c r="B216" s="4">
        <v>816657345.76368356</v>
      </c>
    </row>
    <row r="217" spans="1:2" x14ac:dyDescent="0.35">
      <c r="A217" s="3">
        <v>44880</v>
      </c>
      <c r="B217" s="4">
        <v>805557653.94833195</v>
      </c>
    </row>
    <row r="218" spans="1:2" x14ac:dyDescent="0.35">
      <c r="A218" s="3">
        <v>44881</v>
      </c>
      <c r="B218" s="4">
        <v>808707141.15676057</v>
      </c>
    </row>
    <row r="219" spans="1:2" x14ac:dyDescent="0.35">
      <c r="A219" s="3">
        <v>44882</v>
      </c>
      <c r="B219" s="4">
        <v>814350012.43380213</v>
      </c>
    </row>
    <row r="220" spans="1:2" x14ac:dyDescent="0.35">
      <c r="A220" s="3">
        <v>44883</v>
      </c>
      <c r="B220" s="4">
        <v>817610861.94207394</v>
      </c>
    </row>
    <row r="221" spans="1:2" x14ac:dyDescent="0.35">
      <c r="A221" s="3">
        <v>44886</v>
      </c>
      <c r="B221" s="4">
        <v>819311434.17408216</v>
      </c>
    </row>
    <row r="222" spans="1:2" x14ac:dyDescent="0.35">
      <c r="A222" s="3">
        <v>44887</v>
      </c>
      <c r="B222" s="4">
        <v>818852472.47188199</v>
      </c>
    </row>
    <row r="223" spans="1:2" x14ac:dyDescent="0.35">
      <c r="A223" s="3">
        <v>44888</v>
      </c>
      <c r="B223" s="4">
        <v>814298249.65795219</v>
      </c>
    </row>
    <row r="224" spans="1:2" x14ac:dyDescent="0.35">
      <c r="A224" s="3">
        <v>44889</v>
      </c>
      <c r="B224" s="4">
        <v>815894008.22605371</v>
      </c>
    </row>
    <row r="225" spans="1:2" x14ac:dyDescent="0.35">
      <c r="A225" s="3">
        <v>44890</v>
      </c>
      <c r="B225" s="4">
        <v>819504363.58508551</v>
      </c>
    </row>
    <row r="226" spans="1:2" x14ac:dyDescent="0.35">
      <c r="A226" s="3">
        <v>44893</v>
      </c>
      <c r="B226" s="4">
        <v>822366809.11879575</v>
      </c>
    </row>
    <row r="227" spans="1:2" x14ac:dyDescent="0.35">
      <c r="A227" s="3">
        <v>44894</v>
      </c>
      <c r="B227" s="4">
        <v>818160620.34255397</v>
      </c>
    </row>
    <row r="228" spans="1:2" x14ac:dyDescent="0.35">
      <c r="A228" s="3">
        <v>44895</v>
      </c>
      <c r="B228" s="4">
        <v>818892385.40749133</v>
      </c>
    </row>
    <row r="229" spans="1:2" x14ac:dyDescent="0.35">
      <c r="A229" s="3">
        <v>44896</v>
      </c>
      <c r="B229" s="4">
        <v>817018142.79038501</v>
      </c>
    </row>
    <row r="230" spans="1:2" x14ac:dyDescent="0.35">
      <c r="A230" s="3">
        <v>44897</v>
      </c>
      <c r="B230" s="4">
        <v>818549067.99387348</v>
      </c>
    </row>
    <row r="231" spans="1:2" x14ac:dyDescent="0.35">
      <c r="A231" s="3">
        <v>44900</v>
      </c>
      <c r="B231" s="4">
        <v>826264015.5224911</v>
      </c>
    </row>
    <row r="232" spans="1:2" x14ac:dyDescent="0.35">
      <c r="A232" s="3">
        <v>44901</v>
      </c>
      <c r="B232" s="4">
        <v>819205392.93902528</v>
      </c>
    </row>
    <row r="233" spans="1:2" x14ac:dyDescent="0.35">
      <c r="A233" s="3">
        <v>44902</v>
      </c>
      <c r="B233" s="4">
        <v>821106859.16587007</v>
      </c>
    </row>
    <row r="234" spans="1:2" x14ac:dyDescent="0.35">
      <c r="A234" s="3">
        <v>44903</v>
      </c>
      <c r="B234" s="4">
        <v>821685608.73039174</v>
      </c>
    </row>
    <row r="235" spans="1:2" x14ac:dyDescent="0.35">
      <c r="A235" s="3">
        <v>44904</v>
      </c>
      <c r="B235" s="4">
        <v>824773329.41713893</v>
      </c>
    </row>
    <row r="236" spans="1:2" x14ac:dyDescent="0.35">
      <c r="A236" s="3">
        <v>44907</v>
      </c>
      <c r="B236" s="4">
        <v>825186786.04076779</v>
      </c>
    </row>
    <row r="237" spans="1:2" x14ac:dyDescent="0.35">
      <c r="A237" s="3">
        <v>44908</v>
      </c>
      <c r="B237" s="4">
        <v>827017122.65584493</v>
      </c>
    </row>
    <row r="238" spans="1:2" x14ac:dyDescent="0.35">
      <c r="A238" s="3">
        <v>44909</v>
      </c>
      <c r="B238" s="4">
        <v>826179440.51427329</v>
      </c>
    </row>
    <row r="239" spans="1:2" x14ac:dyDescent="0.35">
      <c r="A239" s="3">
        <v>44910</v>
      </c>
      <c r="B239" s="4">
        <v>828904052.99635792</v>
      </c>
    </row>
    <row r="240" spans="1:2" x14ac:dyDescent="0.35">
      <c r="A240" s="3">
        <v>44911</v>
      </c>
      <c r="B240" s="4">
        <v>826872806.22094345</v>
      </c>
    </row>
    <row r="241" spans="1:2" x14ac:dyDescent="0.35">
      <c r="A241" s="3">
        <v>44914</v>
      </c>
      <c r="B241" s="4">
        <v>825253917.27097964</v>
      </c>
    </row>
    <row r="242" spans="1:2" x14ac:dyDescent="0.35">
      <c r="A242" s="3">
        <v>44915</v>
      </c>
      <c r="B242" s="4">
        <v>821002031.01827323</v>
      </c>
    </row>
    <row r="243" spans="1:2" x14ac:dyDescent="0.35">
      <c r="A243" s="3">
        <v>44916</v>
      </c>
      <c r="B243" s="4">
        <v>821147611.73807025</v>
      </c>
    </row>
    <row r="244" spans="1:2" x14ac:dyDescent="0.35">
      <c r="A244" s="3">
        <v>44917</v>
      </c>
      <c r="B244" s="4">
        <v>820408264.16400218</v>
      </c>
    </row>
    <row r="245" spans="1:2" x14ac:dyDescent="0.35">
      <c r="A245" s="3">
        <v>44918</v>
      </c>
      <c r="B245" s="4">
        <v>821223905.50658357</v>
      </c>
    </row>
    <row r="246" spans="1:2" x14ac:dyDescent="0.35">
      <c r="A246" s="3">
        <v>44921</v>
      </c>
      <c r="B246" s="4">
        <v>812339909.27820349</v>
      </c>
    </row>
    <row r="247" spans="1:2" x14ac:dyDescent="0.35">
      <c r="A247" s="3">
        <v>44922</v>
      </c>
      <c r="B247" s="4">
        <v>816267496.3335526</v>
      </c>
    </row>
    <row r="248" spans="1:2" x14ac:dyDescent="0.35">
      <c r="A248" s="3">
        <v>44923</v>
      </c>
      <c r="B248" s="4">
        <v>826538574.31012571</v>
      </c>
    </row>
    <row r="249" spans="1:2" x14ac:dyDescent="0.35">
      <c r="A249" s="3">
        <v>44924</v>
      </c>
      <c r="B249" s="4">
        <v>828091647.25973642</v>
      </c>
    </row>
    <row r="250" spans="1:2" x14ac:dyDescent="0.35">
      <c r="A250" s="3">
        <v>44925</v>
      </c>
      <c r="B250" s="4">
        <v>825427934.28827178</v>
      </c>
    </row>
  </sheetData>
  <conditionalFormatting sqref="B60:B121">
    <cfRule type="top10" dxfId="26" priority="5" bottom="1" rank="1"/>
    <cfRule type="top10" dxfId="25" priority="6" rank="1"/>
  </conditionalFormatting>
  <conditionalFormatting sqref="B122:B184">
    <cfRule type="top10" dxfId="24" priority="3" bottom="1" rank="1"/>
    <cfRule type="top10" dxfId="23" priority="4" rank="1"/>
  </conditionalFormatting>
  <conditionalFormatting sqref="B185:B249">
    <cfRule type="top10" dxfId="22" priority="1" bottom="1" rank="1"/>
  </conditionalFormatting>
  <conditionalFormatting sqref="B185:B250">
    <cfRule type="top10" dxfId="21" priority="2" rank="1"/>
  </conditionalFormatting>
  <conditionalFormatting sqref="B2:B59">
    <cfRule type="top10" dxfId="20" priority="22" bottom="1" rank="1"/>
    <cfRule type="top10" dxfId="19" priority="23" rank="1"/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1"/>
  <sheetViews>
    <sheetView workbookViewId="0">
      <selection activeCell="G59" sqref="G59"/>
    </sheetView>
  </sheetViews>
  <sheetFormatPr defaultRowHeight="14.5" x14ac:dyDescent="0.35"/>
  <cols>
    <col min="1" max="1" width="11" customWidth="1"/>
    <col min="2" max="2" width="11" style="11" customWidth="1"/>
    <col min="3" max="8" width="11" customWidth="1"/>
  </cols>
  <sheetData>
    <row r="1" spans="1:9" x14ac:dyDescent="0.35">
      <c r="A1" s="6" t="s">
        <v>8</v>
      </c>
      <c r="B1" s="7" t="s">
        <v>9</v>
      </c>
      <c r="C1" s="1" t="s">
        <v>10</v>
      </c>
      <c r="D1" s="1" t="s">
        <v>11</v>
      </c>
      <c r="E1" s="1" t="s">
        <v>12</v>
      </c>
      <c r="F1" s="7" t="s">
        <v>13</v>
      </c>
      <c r="G1" s="1" t="s">
        <v>14</v>
      </c>
      <c r="H1" s="1" t="s">
        <v>15</v>
      </c>
    </row>
    <row r="2" spans="1:9" x14ac:dyDescent="0.35">
      <c r="A2" s="17" t="s">
        <v>29</v>
      </c>
      <c r="B2" s="17"/>
      <c r="C2" s="17"/>
      <c r="D2" s="17"/>
      <c r="E2" s="17"/>
      <c r="F2" s="17"/>
      <c r="G2" s="17"/>
      <c r="H2" s="17"/>
    </row>
    <row r="3" spans="1:9" x14ac:dyDescent="0.35">
      <c r="A3" t="s">
        <v>51</v>
      </c>
      <c r="B3" s="11">
        <v>0.1585</v>
      </c>
      <c r="C3">
        <v>1</v>
      </c>
      <c r="D3" t="s">
        <v>31</v>
      </c>
      <c r="E3" t="s">
        <v>43</v>
      </c>
      <c r="F3" s="11">
        <v>0.1085814360770577</v>
      </c>
      <c r="G3" s="11">
        <v>0.11733800350262689</v>
      </c>
      <c r="H3" t="s">
        <v>18</v>
      </c>
    </row>
    <row r="4" spans="1:9" x14ac:dyDescent="0.35">
      <c r="A4" t="s">
        <v>48</v>
      </c>
      <c r="B4" s="11">
        <v>0.10299999999999999</v>
      </c>
      <c r="C4">
        <v>1</v>
      </c>
      <c r="D4" t="s">
        <v>31</v>
      </c>
      <c r="E4" t="s">
        <v>43</v>
      </c>
      <c r="F4" s="11">
        <v>8.6580086580087621E-3</v>
      </c>
      <c r="G4" s="11">
        <v>0.13419913419913429</v>
      </c>
      <c r="H4" t="s">
        <v>18</v>
      </c>
    </row>
    <row r="5" spans="1:9" x14ac:dyDescent="0.35">
      <c r="A5" t="s">
        <v>49</v>
      </c>
      <c r="B5" s="11">
        <v>9.6699999999999994E-2</v>
      </c>
      <c r="C5">
        <v>1</v>
      </c>
      <c r="D5" t="s">
        <v>31</v>
      </c>
      <c r="E5" s="18" t="s">
        <v>50</v>
      </c>
      <c r="F5" s="11">
        <v>-0.20686751581594309</v>
      </c>
      <c r="G5" s="11">
        <v>0</v>
      </c>
      <c r="H5" t="s">
        <v>16</v>
      </c>
    </row>
    <row r="6" spans="1:9" x14ac:dyDescent="0.35">
      <c r="A6" t="s">
        <v>35</v>
      </c>
      <c r="B6" s="11">
        <v>7.3300000000000004E-2</v>
      </c>
      <c r="C6">
        <v>1</v>
      </c>
      <c r="D6" t="s">
        <v>31</v>
      </c>
      <c r="E6" s="18" t="s">
        <v>36</v>
      </c>
      <c r="F6" s="11">
        <v>-0.190522243713733</v>
      </c>
      <c r="G6" s="11">
        <v>0.15860735009671181</v>
      </c>
      <c r="H6" t="s">
        <v>16</v>
      </c>
    </row>
    <row r="7" spans="1:9" x14ac:dyDescent="0.35">
      <c r="A7" t="s">
        <v>40</v>
      </c>
      <c r="B7" s="11">
        <v>7.0800000000000002E-2</v>
      </c>
      <c r="C7">
        <v>1</v>
      </c>
      <c r="D7" t="s">
        <v>31</v>
      </c>
      <c r="E7" s="18" t="s">
        <v>41</v>
      </c>
      <c r="F7" s="11">
        <v>-0.20141342756183739</v>
      </c>
      <c r="G7" s="11">
        <v>0.1166077738515901</v>
      </c>
      <c r="H7" t="s">
        <v>16</v>
      </c>
    </row>
    <row r="8" spans="1:9" x14ac:dyDescent="0.35">
      <c r="A8" s="18" t="s">
        <v>33</v>
      </c>
      <c r="B8" s="19">
        <v>6.83E-2</v>
      </c>
      <c r="C8" s="18">
        <v>1</v>
      </c>
      <c r="D8" s="18" t="s">
        <v>31</v>
      </c>
      <c r="E8" s="18" t="s">
        <v>34</v>
      </c>
      <c r="F8" s="19">
        <v>-0.178433889602054</v>
      </c>
      <c r="G8" s="20">
        <v>0.18741976893453141</v>
      </c>
      <c r="H8" s="18" t="s">
        <v>16</v>
      </c>
      <c r="I8" s="18" t="s">
        <v>109</v>
      </c>
    </row>
    <row r="9" spans="1:9" x14ac:dyDescent="0.35">
      <c r="A9" t="s">
        <v>37</v>
      </c>
      <c r="B9" s="11">
        <v>6.1899999999999997E-2</v>
      </c>
      <c r="C9">
        <v>1</v>
      </c>
      <c r="D9" t="s">
        <v>31</v>
      </c>
      <c r="E9" t="s">
        <v>38</v>
      </c>
      <c r="F9" s="11">
        <v>0.2244897959183674</v>
      </c>
      <c r="G9" s="11">
        <v>0.2244897959183674</v>
      </c>
      <c r="H9" t="s">
        <v>17</v>
      </c>
    </row>
    <row r="10" spans="1:9" x14ac:dyDescent="0.35">
      <c r="A10" t="s">
        <v>45</v>
      </c>
      <c r="B10" s="11">
        <v>5.9400000000000001E-2</v>
      </c>
      <c r="C10">
        <v>1</v>
      </c>
      <c r="D10" t="s">
        <v>31</v>
      </c>
      <c r="E10" t="s">
        <v>43</v>
      </c>
      <c r="F10" s="11">
        <v>-1.2461059190031151E-2</v>
      </c>
      <c r="G10" s="11">
        <v>0.1168224299065421</v>
      </c>
      <c r="H10" t="s">
        <v>18</v>
      </c>
    </row>
    <row r="11" spans="1:9" x14ac:dyDescent="0.35">
      <c r="A11" t="s">
        <v>47</v>
      </c>
      <c r="B11" s="11">
        <v>5.9200000000000003E-2</v>
      </c>
      <c r="C11">
        <v>1</v>
      </c>
      <c r="D11" t="s">
        <v>31</v>
      </c>
      <c r="E11" t="s">
        <v>43</v>
      </c>
      <c r="F11" s="11">
        <v>-6.0818713450292279E-2</v>
      </c>
      <c r="G11" s="11">
        <v>5.8479532163742331E-3</v>
      </c>
      <c r="H11" t="s">
        <v>18</v>
      </c>
    </row>
    <row r="12" spans="1:9" x14ac:dyDescent="0.35">
      <c r="A12" t="s">
        <v>42</v>
      </c>
      <c r="B12" s="11">
        <v>5.6800000000000003E-2</v>
      </c>
      <c r="C12">
        <v>1</v>
      </c>
      <c r="D12" t="s">
        <v>31</v>
      </c>
      <c r="E12" t="s">
        <v>43</v>
      </c>
      <c r="F12" s="11">
        <v>0.2141652613827994</v>
      </c>
      <c r="G12" s="11">
        <v>0.2141652613827994</v>
      </c>
      <c r="H12" t="s">
        <v>17</v>
      </c>
    </row>
    <row r="13" spans="1:9" x14ac:dyDescent="0.35">
      <c r="A13" t="s">
        <v>39</v>
      </c>
      <c r="B13" s="11">
        <v>5.57E-2</v>
      </c>
      <c r="C13">
        <v>1</v>
      </c>
      <c r="D13" t="s">
        <v>31</v>
      </c>
      <c r="E13" t="s">
        <v>34</v>
      </c>
      <c r="F13" s="11">
        <v>0.20384615384615379</v>
      </c>
      <c r="G13" s="11">
        <v>0.20384615384615379</v>
      </c>
      <c r="H13" t="s">
        <v>17</v>
      </c>
    </row>
    <row r="14" spans="1:9" x14ac:dyDescent="0.35">
      <c r="A14" t="s">
        <v>44</v>
      </c>
      <c r="B14" s="11">
        <v>4.8599999999999997E-2</v>
      </c>
      <c r="C14">
        <v>1</v>
      </c>
      <c r="D14" t="s">
        <v>31</v>
      </c>
      <c r="E14" t="s">
        <v>36</v>
      </c>
      <c r="F14" s="11">
        <v>-0.20599999999999999</v>
      </c>
      <c r="G14" s="11">
        <v>0.16</v>
      </c>
      <c r="H14" t="s">
        <v>16</v>
      </c>
    </row>
    <row r="15" spans="1:9" x14ac:dyDescent="0.35">
      <c r="A15" t="s">
        <v>30</v>
      </c>
      <c r="B15" s="11">
        <v>4.41E-2</v>
      </c>
      <c r="C15">
        <v>1</v>
      </c>
      <c r="D15" t="s">
        <v>31</v>
      </c>
      <c r="E15" t="s">
        <v>32</v>
      </c>
      <c r="F15" s="11">
        <v>-0.17948717948717949</v>
      </c>
      <c r="G15" s="11">
        <v>0</v>
      </c>
      <c r="H15" t="s">
        <v>16</v>
      </c>
    </row>
    <row r="16" spans="1:9" x14ac:dyDescent="0.35">
      <c r="A16" t="s">
        <v>46</v>
      </c>
      <c r="B16" s="11">
        <v>4.3700000000000003E-2</v>
      </c>
      <c r="C16">
        <v>1</v>
      </c>
      <c r="D16" t="s">
        <v>31</v>
      </c>
      <c r="E16" t="s">
        <v>36</v>
      </c>
      <c r="F16" s="11">
        <v>-0.1976740154038823</v>
      </c>
      <c r="G16" s="11">
        <v>6.9767441860465115E-2</v>
      </c>
      <c r="H16" t="s">
        <v>16</v>
      </c>
    </row>
    <row r="17" spans="1:8" x14ac:dyDescent="0.35">
      <c r="A17" s="17" t="s">
        <v>53</v>
      </c>
      <c r="B17" s="17"/>
      <c r="C17" s="17"/>
      <c r="D17" s="17"/>
      <c r="E17" s="17"/>
      <c r="F17" s="17"/>
      <c r="G17" s="17"/>
      <c r="H17" s="17"/>
    </row>
    <row r="18" spans="1:8" x14ac:dyDescent="0.35">
      <c r="A18" t="s">
        <v>26</v>
      </c>
      <c r="B18" s="11">
        <v>0.13270000000000001</v>
      </c>
      <c r="C18">
        <v>1</v>
      </c>
      <c r="D18" s="3" t="s">
        <v>55</v>
      </c>
      <c r="E18" s="3" t="s">
        <v>61</v>
      </c>
      <c r="F18" s="11">
        <v>-0.12103209788969679</v>
      </c>
      <c r="G18" s="11">
        <v>0</v>
      </c>
      <c r="H18" t="s">
        <v>18</v>
      </c>
    </row>
    <row r="19" spans="1:8" x14ac:dyDescent="0.35">
      <c r="A19" t="s">
        <v>51</v>
      </c>
      <c r="B19" s="11">
        <v>0.10970000000000001</v>
      </c>
      <c r="C19">
        <v>1</v>
      </c>
      <c r="D19" s="3" t="s">
        <v>31</v>
      </c>
      <c r="E19" s="3" t="s">
        <v>74</v>
      </c>
      <c r="F19" s="11">
        <v>-0.15936952714535901</v>
      </c>
      <c r="G19" s="11">
        <v>0.1295971978984238</v>
      </c>
      <c r="H19" t="s">
        <v>16</v>
      </c>
    </row>
    <row r="20" spans="1:8" x14ac:dyDescent="0.35">
      <c r="A20" t="s">
        <v>57</v>
      </c>
      <c r="B20" s="11">
        <v>8.4400000000000003E-2</v>
      </c>
      <c r="C20">
        <v>1</v>
      </c>
      <c r="D20" s="3" t="s">
        <v>55</v>
      </c>
      <c r="E20" s="3" t="s">
        <v>58</v>
      </c>
      <c r="F20" s="11">
        <v>-0.15040000000000001</v>
      </c>
      <c r="G20" s="11">
        <v>0</v>
      </c>
      <c r="H20" t="s">
        <v>16</v>
      </c>
    </row>
    <row r="21" spans="1:8" x14ac:dyDescent="0.35">
      <c r="A21" t="s">
        <v>71</v>
      </c>
      <c r="B21" s="11">
        <v>8.2000000000000003E-2</v>
      </c>
      <c r="C21">
        <v>1</v>
      </c>
      <c r="D21" s="3" t="s">
        <v>55</v>
      </c>
      <c r="E21" s="3" t="s">
        <v>72</v>
      </c>
      <c r="F21" s="11">
        <v>-0.1564945226917058</v>
      </c>
      <c r="G21" s="11">
        <v>3.912363067292645E-2</v>
      </c>
      <c r="H21" t="s">
        <v>16</v>
      </c>
    </row>
    <row r="22" spans="1:8" x14ac:dyDescent="0.35">
      <c r="A22" t="s">
        <v>54</v>
      </c>
      <c r="B22" s="11">
        <v>7.8299999999999995E-2</v>
      </c>
      <c r="C22">
        <v>1</v>
      </c>
      <c r="D22" s="3" t="s">
        <v>55</v>
      </c>
      <c r="E22" s="3" t="s">
        <v>56</v>
      </c>
      <c r="F22" s="11">
        <v>-0.20510563380281691</v>
      </c>
      <c r="G22" s="11">
        <v>1.76056338028169E-3</v>
      </c>
      <c r="H22" t="s">
        <v>16</v>
      </c>
    </row>
    <row r="23" spans="1:8" x14ac:dyDescent="0.35">
      <c r="A23" t="s">
        <v>63</v>
      </c>
      <c r="B23" s="11">
        <v>7.5600000000000001E-2</v>
      </c>
      <c r="C23">
        <v>1</v>
      </c>
      <c r="D23" s="3" t="s">
        <v>55</v>
      </c>
      <c r="E23" s="3" t="s">
        <v>64</v>
      </c>
      <c r="F23" s="11">
        <v>-0.2</v>
      </c>
      <c r="G23" s="11">
        <v>0</v>
      </c>
      <c r="H23" t="s">
        <v>16</v>
      </c>
    </row>
    <row r="24" spans="1:8" x14ac:dyDescent="0.35">
      <c r="A24" t="s">
        <v>27</v>
      </c>
      <c r="B24" s="11">
        <v>6.59E-2</v>
      </c>
      <c r="C24">
        <v>1</v>
      </c>
      <c r="D24" s="3" t="s">
        <v>55</v>
      </c>
      <c r="E24" s="3" t="s">
        <v>62</v>
      </c>
      <c r="F24" s="11">
        <v>-0.1956140350877193</v>
      </c>
      <c r="G24" s="11">
        <v>0.1175438596491228</v>
      </c>
      <c r="H24" t="s">
        <v>16</v>
      </c>
    </row>
    <row r="25" spans="1:8" x14ac:dyDescent="0.35">
      <c r="A25" t="s">
        <v>67</v>
      </c>
      <c r="B25" s="11">
        <v>6.54E-2</v>
      </c>
      <c r="C25">
        <v>1</v>
      </c>
      <c r="D25" s="3" t="s">
        <v>55</v>
      </c>
      <c r="E25" s="3" t="s">
        <v>61</v>
      </c>
      <c r="F25" s="11">
        <v>-4.1384213687681547E-2</v>
      </c>
      <c r="G25" s="11">
        <v>0.1206896551724139</v>
      </c>
      <c r="H25" t="s">
        <v>18</v>
      </c>
    </row>
    <row r="26" spans="1:8" x14ac:dyDescent="0.35">
      <c r="A26" t="s">
        <v>73</v>
      </c>
      <c r="B26" s="11">
        <v>5.4899999999999997E-2</v>
      </c>
      <c r="C26">
        <v>1</v>
      </c>
      <c r="D26" s="3" t="s">
        <v>55</v>
      </c>
      <c r="E26" s="3" t="s">
        <v>70</v>
      </c>
      <c r="F26" s="11">
        <v>-0.1578947368421052</v>
      </c>
      <c r="G26" s="11">
        <v>0</v>
      </c>
      <c r="H26" t="s">
        <v>16</v>
      </c>
    </row>
    <row r="27" spans="1:8" x14ac:dyDescent="0.35">
      <c r="A27" t="s">
        <v>65</v>
      </c>
      <c r="B27" s="11">
        <v>4.9399999999999999E-2</v>
      </c>
      <c r="C27">
        <v>1</v>
      </c>
      <c r="D27" s="3" t="s">
        <v>55</v>
      </c>
      <c r="E27" s="3" t="s">
        <v>66</v>
      </c>
      <c r="F27" s="11">
        <v>-0.157258064516129</v>
      </c>
      <c r="G27" s="11">
        <v>0</v>
      </c>
      <c r="H27" t="s">
        <v>16</v>
      </c>
    </row>
    <row r="28" spans="1:8" x14ac:dyDescent="0.35">
      <c r="A28" t="s">
        <v>59</v>
      </c>
      <c r="B28" s="11">
        <v>4.7300000000000002E-2</v>
      </c>
      <c r="C28">
        <v>1</v>
      </c>
      <c r="D28" s="3" t="s">
        <v>55</v>
      </c>
      <c r="E28" s="3" t="s">
        <v>60</v>
      </c>
      <c r="F28" s="11">
        <v>-0.170487106017192</v>
      </c>
      <c r="G28" s="11">
        <v>2.4355300859598802E-2</v>
      </c>
      <c r="H28" t="s">
        <v>16</v>
      </c>
    </row>
    <row r="29" spans="1:8" x14ac:dyDescent="0.35">
      <c r="A29" t="s">
        <v>68</v>
      </c>
      <c r="B29" s="11">
        <v>4.7100000000000003E-2</v>
      </c>
      <c r="C29">
        <v>1</v>
      </c>
      <c r="D29" s="3" t="s">
        <v>55</v>
      </c>
      <c r="E29" s="3" t="s">
        <v>58</v>
      </c>
      <c r="F29" s="11">
        <v>-0.1694736842105263</v>
      </c>
      <c r="G29" s="11">
        <v>1.578947368421045E-2</v>
      </c>
      <c r="H29" t="s">
        <v>16</v>
      </c>
    </row>
    <row r="30" spans="1:8" x14ac:dyDescent="0.35">
      <c r="A30" t="s">
        <v>69</v>
      </c>
      <c r="B30" s="11">
        <v>4.7E-2</v>
      </c>
      <c r="C30">
        <v>1</v>
      </c>
      <c r="D30" s="3" t="s">
        <v>55</v>
      </c>
      <c r="E30" s="3" t="s">
        <v>64</v>
      </c>
      <c r="F30" s="11">
        <v>-0.1637168141592921</v>
      </c>
      <c r="G30" s="11">
        <v>8.8495575221237965E-3</v>
      </c>
      <c r="H30" t="s">
        <v>16</v>
      </c>
    </row>
    <row r="31" spans="1:8" x14ac:dyDescent="0.35">
      <c r="A31" t="s">
        <v>48</v>
      </c>
      <c r="B31" s="11">
        <v>3.8600000000000002E-2</v>
      </c>
      <c r="C31">
        <v>1</v>
      </c>
      <c r="D31" s="3" t="s">
        <v>31</v>
      </c>
      <c r="E31" s="3" t="s">
        <v>70</v>
      </c>
      <c r="F31" s="11">
        <v>-0.17748917748917739</v>
      </c>
      <c r="G31" s="11">
        <v>0.13419913419913429</v>
      </c>
      <c r="H31" t="s">
        <v>16</v>
      </c>
    </row>
    <row r="32" spans="1:8" x14ac:dyDescent="0.35">
      <c r="A32" t="s">
        <v>47</v>
      </c>
      <c r="B32" s="11">
        <v>2.1700000000000001E-2</v>
      </c>
      <c r="C32">
        <v>1</v>
      </c>
      <c r="D32" s="3" t="s">
        <v>31</v>
      </c>
      <c r="E32" s="3" t="s">
        <v>66</v>
      </c>
      <c r="F32" s="11">
        <v>-0.15321637426900581</v>
      </c>
      <c r="G32" s="11">
        <v>5.8479532163742331E-3</v>
      </c>
      <c r="H32" t="s">
        <v>16</v>
      </c>
    </row>
    <row r="33" spans="1:8" x14ac:dyDescent="0.35">
      <c r="A33" s="17" t="s">
        <v>108</v>
      </c>
      <c r="B33" s="17"/>
      <c r="C33" s="17"/>
      <c r="D33" s="17"/>
      <c r="E33" s="17"/>
      <c r="F33" s="17"/>
      <c r="G33" s="17"/>
      <c r="H33" s="17"/>
    </row>
    <row r="34" spans="1:8" x14ac:dyDescent="0.35">
      <c r="A34" t="s">
        <v>80</v>
      </c>
      <c r="B34" s="11">
        <v>0.1666</v>
      </c>
      <c r="C34">
        <v>1</v>
      </c>
      <c r="D34" t="s">
        <v>76</v>
      </c>
      <c r="E34" t="s">
        <v>79</v>
      </c>
      <c r="F34" s="11">
        <v>-2.8490254625973838E-2</v>
      </c>
      <c r="G34" s="11">
        <v>8.6286594761171065E-2</v>
      </c>
      <c r="H34" t="s">
        <v>18</v>
      </c>
    </row>
    <row r="35" spans="1:8" x14ac:dyDescent="0.35">
      <c r="A35" t="s">
        <v>78</v>
      </c>
      <c r="B35" s="11">
        <v>0.1239</v>
      </c>
      <c r="C35">
        <v>1</v>
      </c>
      <c r="D35" t="s">
        <v>76</v>
      </c>
      <c r="E35" t="s">
        <v>79</v>
      </c>
      <c r="F35" s="11">
        <v>0.13095238095238099</v>
      </c>
      <c r="G35" s="11">
        <v>0.13095238095238099</v>
      </c>
      <c r="H35" t="s">
        <v>18</v>
      </c>
    </row>
    <row r="36" spans="1:8" x14ac:dyDescent="0.35">
      <c r="A36" t="s">
        <v>90</v>
      </c>
      <c r="B36" s="11">
        <v>0.1016</v>
      </c>
      <c r="C36">
        <v>1</v>
      </c>
      <c r="D36" t="s">
        <v>76</v>
      </c>
      <c r="E36" t="s">
        <v>91</v>
      </c>
      <c r="F36" s="11">
        <v>-0.15909090909090909</v>
      </c>
      <c r="G36" s="11">
        <v>0</v>
      </c>
      <c r="H36" t="s">
        <v>16</v>
      </c>
    </row>
    <row r="37" spans="1:8" x14ac:dyDescent="0.35">
      <c r="A37" t="s">
        <v>81</v>
      </c>
      <c r="B37" s="11">
        <v>8.0399999999999999E-2</v>
      </c>
      <c r="C37">
        <v>1</v>
      </c>
      <c r="D37" t="s">
        <v>76</v>
      </c>
      <c r="E37" t="s">
        <v>79</v>
      </c>
      <c r="F37" s="11">
        <v>-1.811650649657008E-3</v>
      </c>
      <c r="G37" s="11">
        <v>4.6039072897795331E-2</v>
      </c>
      <c r="H37" t="s">
        <v>18</v>
      </c>
    </row>
    <row r="38" spans="1:8" x14ac:dyDescent="0.35">
      <c r="A38" t="s">
        <v>24</v>
      </c>
      <c r="B38" s="11">
        <v>7.3200000000000001E-2</v>
      </c>
      <c r="C38">
        <v>1</v>
      </c>
      <c r="D38" t="s">
        <v>76</v>
      </c>
      <c r="E38" t="s">
        <v>77</v>
      </c>
      <c r="F38" s="11">
        <v>0.2237762237762238</v>
      </c>
      <c r="G38" s="11">
        <v>0.2237762237762238</v>
      </c>
      <c r="H38" t="s">
        <v>17</v>
      </c>
    </row>
    <row r="39" spans="1:8" x14ac:dyDescent="0.35">
      <c r="A39" t="s">
        <v>92</v>
      </c>
      <c r="B39" s="11">
        <v>7.2499999999999995E-2</v>
      </c>
      <c r="C39">
        <v>1</v>
      </c>
      <c r="D39" t="s">
        <v>76</v>
      </c>
      <c r="E39" t="s">
        <v>79</v>
      </c>
      <c r="F39" s="11">
        <v>-2.1929824561403511E-2</v>
      </c>
      <c r="G39" s="11">
        <v>1.096491228070175E-2</v>
      </c>
      <c r="H39" t="s">
        <v>18</v>
      </c>
    </row>
    <row r="40" spans="1:8" x14ac:dyDescent="0.35">
      <c r="A40" t="s">
        <v>73</v>
      </c>
      <c r="B40" s="11">
        <v>6.8400000000000002E-2</v>
      </c>
      <c r="C40">
        <v>1</v>
      </c>
      <c r="D40" t="s">
        <v>76</v>
      </c>
      <c r="E40" t="s">
        <v>87</v>
      </c>
      <c r="F40" s="11">
        <v>0.24193548387096769</v>
      </c>
      <c r="G40" s="11">
        <v>0.24193548387096769</v>
      </c>
      <c r="H40" t="s">
        <v>17</v>
      </c>
    </row>
    <row r="41" spans="1:8" x14ac:dyDescent="0.35">
      <c r="A41" t="s">
        <v>25</v>
      </c>
      <c r="B41" s="11">
        <v>6.7799999999999999E-2</v>
      </c>
      <c r="C41">
        <v>1</v>
      </c>
      <c r="D41" t="s">
        <v>76</v>
      </c>
      <c r="E41" t="s">
        <v>87</v>
      </c>
      <c r="F41" s="11">
        <v>0.21008403361344541</v>
      </c>
      <c r="G41" s="11">
        <v>0.21008403361344541</v>
      </c>
      <c r="H41" t="s">
        <v>17</v>
      </c>
    </row>
    <row r="42" spans="1:8" x14ac:dyDescent="0.35">
      <c r="A42" t="s">
        <v>88</v>
      </c>
      <c r="B42" s="11">
        <v>6.3500000000000001E-2</v>
      </c>
      <c r="C42">
        <v>1</v>
      </c>
      <c r="D42" t="s">
        <v>76</v>
      </c>
      <c r="E42" t="s">
        <v>89</v>
      </c>
      <c r="F42" s="11">
        <v>0.22828282828282809</v>
      </c>
      <c r="G42" s="11">
        <v>0.22828282828282809</v>
      </c>
      <c r="H42" t="s">
        <v>17</v>
      </c>
    </row>
    <row r="43" spans="1:8" x14ac:dyDescent="0.35">
      <c r="A43" t="s">
        <v>84</v>
      </c>
      <c r="B43" s="11">
        <v>5.6399999999999999E-2</v>
      </c>
      <c r="C43">
        <v>1</v>
      </c>
      <c r="D43" t="s">
        <v>76</v>
      </c>
      <c r="E43" t="s">
        <v>85</v>
      </c>
      <c r="F43" s="11">
        <v>-0.1146645865834633</v>
      </c>
      <c r="G43" s="11">
        <v>0</v>
      </c>
      <c r="H43" t="s">
        <v>16</v>
      </c>
    </row>
    <row r="44" spans="1:8" x14ac:dyDescent="0.35">
      <c r="A44" t="s">
        <v>42</v>
      </c>
      <c r="B44" s="11">
        <v>4.9799999999999997E-2</v>
      </c>
      <c r="C44">
        <v>1</v>
      </c>
      <c r="D44" t="s">
        <v>76</v>
      </c>
      <c r="E44" t="s">
        <v>86</v>
      </c>
      <c r="F44" s="11">
        <v>-0.1727019498607241</v>
      </c>
      <c r="G44" s="11">
        <v>0</v>
      </c>
      <c r="H44" t="s">
        <v>16</v>
      </c>
    </row>
    <row r="45" spans="1:8" x14ac:dyDescent="0.35">
      <c r="A45" t="s">
        <v>82</v>
      </c>
      <c r="B45" s="11">
        <v>4.1000000000000002E-2</v>
      </c>
      <c r="C45">
        <v>1</v>
      </c>
      <c r="D45" t="s">
        <v>76</v>
      </c>
      <c r="E45" t="s">
        <v>83</v>
      </c>
      <c r="F45" s="11">
        <v>0.21296296296296291</v>
      </c>
      <c r="G45" s="11">
        <v>0.21296296296296291</v>
      </c>
      <c r="H45" t="s">
        <v>17</v>
      </c>
    </row>
    <row r="46" spans="1:8" x14ac:dyDescent="0.35">
      <c r="A46" t="s">
        <v>67</v>
      </c>
      <c r="B46" s="11">
        <v>3.49E-2</v>
      </c>
      <c r="C46">
        <v>1</v>
      </c>
      <c r="D46" t="s">
        <v>55</v>
      </c>
      <c r="E46" t="s">
        <v>79</v>
      </c>
      <c r="F46" s="11">
        <v>-3.4283356011293897E-2</v>
      </c>
      <c r="G46" s="11">
        <v>0.1206896551724139</v>
      </c>
      <c r="H46" t="s">
        <v>18</v>
      </c>
    </row>
    <row r="47" spans="1:8" x14ac:dyDescent="0.35">
      <c r="A47" s="17" t="s">
        <v>107</v>
      </c>
      <c r="B47" s="17"/>
      <c r="C47" s="17"/>
      <c r="D47" s="17"/>
      <c r="E47" s="17"/>
      <c r="F47" s="17"/>
      <c r="G47" s="17"/>
      <c r="H47" s="17"/>
    </row>
    <row r="48" spans="1:8" x14ac:dyDescent="0.35">
      <c r="A48" t="s">
        <v>78</v>
      </c>
      <c r="B48" s="11">
        <v>0.1459</v>
      </c>
      <c r="C48" s="22">
        <v>1</v>
      </c>
      <c r="D48" t="s">
        <v>76</v>
      </c>
      <c r="E48" t="s">
        <v>95</v>
      </c>
      <c r="F48" s="11">
        <v>0.1261904761904763</v>
      </c>
      <c r="G48" s="11">
        <v>0.1595238095238096</v>
      </c>
      <c r="H48" t="s">
        <v>18</v>
      </c>
    </row>
    <row r="49" spans="1:8" x14ac:dyDescent="0.35">
      <c r="A49" t="s">
        <v>104</v>
      </c>
      <c r="B49" s="11">
        <v>9.1200000000000003E-2</v>
      </c>
      <c r="C49" s="22">
        <v>1</v>
      </c>
      <c r="D49" t="s">
        <v>94</v>
      </c>
      <c r="E49" t="s">
        <v>95</v>
      </c>
      <c r="F49" s="11">
        <v>5.8333333333333327E-2</v>
      </c>
      <c r="G49" s="11">
        <v>5.8333333333333327E-2</v>
      </c>
      <c r="H49" t="s">
        <v>18</v>
      </c>
    </row>
    <row r="50" spans="1:8" x14ac:dyDescent="0.35">
      <c r="A50" t="s">
        <v>98</v>
      </c>
      <c r="B50" s="11">
        <v>8.2900000000000001E-2</v>
      </c>
      <c r="C50" s="22">
        <v>1</v>
      </c>
      <c r="D50" t="s">
        <v>94</v>
      </c>
      <c r="E50" t="s">
        <v>95</v>
      </c>
      <c r="F50" s="11">
        <v>-2.3978812640437681E-2</v>
      </c>
      <c r="G50" s="11">
        <v>5.3278688524590098E-2</v>
      </c>
      <c r="H50" t="s">
        <v>18</v>
      </c>
    </row>
    <row r="51" spans="1:8" x14ac:dyDescent="0.35">
      <c r="A51" t="s">
        <v>105</v>
      </c>
      <c r="B51" s="11">
        <v>7.5399999999999995E-2</v>
      </c>
      <c r="C51" s="22">
        <v>1</v>
      </c>
      <c r="D51" t="s">
        <v>94</v>
      </c>
      <c r="E51" t="s">
        <v>95</v>
      </c>
      <c r="F51" s="11">
        <v>-5.2213113148409408E-2</v>
      </c>
      <c r="G51" s="11">
        <v>3.020833333333324E-2</v>
      </c>
      <c r="H51" t="s">
        <v>18</v>
      </c>
    </row>
    <row r="52" spans="1:8" x14ac:dyDescent="0.35">
      <c r="A52" t="s">
        <v>73</v>
      </c>
      <c r="B52" s="11">
        <v>7.4300000000000005E-2</v>
      </c>
      <c r="C52" s="22">
        <v>1</v>
      </c>
      <c r="D52" t="s">
        <v>94</v>
      </c>
      <c r="E52" t="s">
        <v>106</v>
      </c>
      <c r="F52" s="11">
        <v>-0.20588235294117649</v>
      </c>
      <c r="G52" s="11">
        <v>5.1470588235294122E-2</v>
      </c>
      <c r="H52" t="s">
        <v>16</v>
      </c>
    </row>
    <row r="53" spans="1:8" x14ac:dyDescent="0.35">
      <c r="A53" t="s">
        <v>80</v>
      </c>
      <c r="B53" s="11">
        <v>6.9599999999999995E-2</v>
      </c>
      <c r="C53" s="22">
        <v>1</v>
      </c>
      <c r="D53" t="s">
        <v>76</v>
      </c>
      <c r="E53" t="s">
        <v>95</v>
      </c>
      <c r="F53" s="11">
        <v>1.037013518898721E-2</v>
      </c>
      <c r="G53" s="11">
        <v>8.6286594761171065E-2</v>
      </c>
      <c r="H53" t="s">
        <v>18</v>
      </c>
    </row>
    <row r="54" spans="1:8" x14ac:dyDescent="0.35">
      <c r="A54" t="s">
        <v>20</v>
      </c>
      <c r="B54" s="11">
        <v>6.83E-2</v>
      </c>
      <c r="C54" s="22">
        <v>1</v>
      </c>
      <c r="D54" t="s">
        <v>94</v>
      </c>
      <c r="E54" t="s">
        <v>95</v>
      </c>
      <c r="F54" s="11">
        <v>1.8691588785046679E-2</v>
      </c>
      <c r="G54" s="11">
        <v>2.803738317757009E-2</v>
      </c>
      <c r="H54" t="s">
        <v>18</v>
      </c>
    </row>
    <row r="55" spans="1:8" x14ac:dyDescent="0.35">
      <c r="A55" t="s">
        <v>92</v>
      </c>
      <c r="B55" s="11">
        <v>6.4500000000000002E-2</v>
      </c>
      <c r="C55" s="22">
        <v>1</v>
      </c>
      <c r="D55" t="s">
        <v>76</v>
      </c>
      <c r="E55" t="s">
        <v>95</v>
      </c>
      <c r="F55" s="11">
        <v>-6.5789473684210523E-2</v>
      </c>
      <c r="G55" s="11">
        <v>1.096491228070175E-2</v>
      </c>
      <c r="H55" t="s">
        <v>18</v>
      </c>
    </row>
    <row r="56" spans="1:8" x14ac:dyDescent="0.35">
      <c r="A56" t="s">
        <v>103</v>
      </c>
      <c r="B56" s="11">
        <v>6.4100000000000004E-2</v>
      </c>
      <c r="C56" s="22">
        <v>1</v>
      </c>
      <c r="D56" t="s">
        <v>94</v>
      </c>
      <c r="E56" t="s">
        <v>95</v>
      </c>
      <c r="F56" s="11">
        <v>-7.0671319822763631E-2</v>
      </c>
      <c r="G56" s="11">
        <v>7.0252469813391977E-2</v>
      </c>
      <c r="H56" t="s">
        <v>18</v>
      </c>
    </row>
    <row r="57" spans="1:8" x14ac:dyDescent="0.35">
      <c r="A57" t="s">
        <v>81</v>
      </c>
      <c r="B57" s="11">
        <v>6.1800000000000001E-2</v>
      </c>
      <c r="C57" s="22">
        <v>1</v>
      </c>
      <c r="D57" t="s">
        <v>76</v>
      </c>
      <c r="E57" t="s">
        <v>95</v>
      </c>
      <c r="F57" s="11">
        <v>-1.261780144555851E-2</v>
      </c>
      <c r="G57" s="11">
        <v>4.6039072897795331E-2</v>
      </c>
      <c r="H57" t="s">
        <v>18</v>
      </c>
    </row>
    <row r="58" spans="1:8" x14ac:dyDescent="0.35">
      <c r="A58" t="s">
        <v>96</v>
      </c>
      <c r="B58" s="11">
        <v>5.6500000000000002E-2</v>
      </c>
      <c r="C58" s="22">
        <v>1</v>
      </c>
      <c r="D58" t="s">
        <v>94</v>
      </c>
      <c r="E58" t="s">
        <v>97</v>
      </c>
      <c r="F58" s="11">
        <v>-0.15137614678899089</v>
      </c>
      <c r="G58" s="11">
        <v>0.15678899082568801</v>
      </c>
      <c r="H58" t="s">
        <v>16</v>
      </c>
    </row>
    <row r="59" spans="1:8" x14ac:dyDescent="0.35">
      <c r="A59" t="s">
        <v>100</v>
      </c>
      <c r="B59" s="11">
        <v>5.2900000000000003E-2</v>
      </c>
      <c r="C59" s="22">
        <v>1</v>
      </c>
      <c r="D59" t="s">
        <v>94</v>
      </c>
      <c r="E59" t="s">
        <v>101</v>
      </c>
      <c r="F59" s="11">
        <v>-0.15609756097560981</v>
      </c>
      <c r="G59" s="11">
        <v>0</v>
      </c>
      <c r="H59" t="s">
        <v>16</v>
      </c>
    </row>
    <row r="60" spans="1:8" x14ac:dyDescent="0.35">
      <c r="A60" t="s">
        <v>65</v>
      </c>
      <c r="B60" s="11">
        <v>5.1400000000000001E-2</v>
      </c>
      <c r="C60" s="22">
        <v>1</v>
      </c>
      <c r="D60" t="s">
        <v>94</v>
      </c>
      <c r="E60" t="s">
        <v>99</v>
      </c>
      <c r="F60" s="11">
        <v>0.26126126126126131</v>
      </c>
      <c r="G60" s="11">
        <v>0.26126126126126131</v>
      </c>
      <c r="H60" t="s">
        <v>17</v>
      </c>
    </row>
    <row r="61" spans="1:8" x14ac:dyDescent="0.35">
      <c r="A61" t="s">
        <v>67</v>
      </c>
      <c r="B61" s="11">
        <v>4.1200000000000001E-2</v>
      </c>
      <c r="C61" s="22">
        <v>1</v>
      </c>
      <c r="D61" t="s">
        <v>55</v>
      </c>
      <c r="E61" t="s">
        <v>102</v>
      </c>
      <c r="F61" s="11">
        <v>-0.15499793650988231</v>
      </c>
      <c r="G61" s="11">
        <v>0.1206896551724139</v>
      </c>
      <c r="H61" t="s">
        <v>16</v>
      </c>
    </row>
  </sheetData>
  <sortState xmlns:xlrd2="http://schemas.microsoft.com/office/spreadsheetml/2017/richdata2" ref="A48:H61">
    <sortCondition descending="1" ref="B48:B61"/>
  </sortState>
  <mergeCells count="4">
    <mergeCell ref="A47:H47"/>
    <mergeCell ref="A2:H2"/>
    <mergeCell ref="A17:H17"/>
    <mergeCell ref="A33:H33"/>
  </mergeCells>
  <conditionalFormatting sqref="A1:A2">
    <cfRule type="duplicateValues" dxfId="18" priority="22"/>
  </conditionalFormatting>
  <conditionalFormatting sqref="A1:A1048576">
    <cfRule type="duplicateValues" dxfId="17" priority="17"/>
  </conditionalFormatting>
  <conditionalFormatting sqref="A17">
    <cfRule type="duplicateValues" dxfId="16" priority="13"/>
  </conditionalFormatting>
  <conditionalFormatting sqref="A47">
    <cfRule type="duplicateValues" dxfId="15" priority="5"/>
  </conditionalFormatting>
  <conditionalFormatting sqref="F1:F1048576">
    <cfRule type="cellIs" dxfId="14" priority="7" operator="lessThan">
      <formula>0</formula>
    </cfRule>
  </conditionalFormatting>
  <conditionalFormatting sqref="H1:H1048576 I8">
    <cfRule type="cellIs" dxfId="13" priority="2" operator="equal">
      <formula>"Take Profit"</formula>
    </cfRule>
    <cfRule type="cellIs" dxfId="12" priority="3" operator="equal">
      <formula>"Keep Position"</formula>
    </cfRule>
    <cfRule type="cellIs" dxfId="11" priority="4" operator="equal">
      <formula>"Stop Loss"</formula>
    </cfRule>
  </conditionalFormatting>
  <conditionalFormatting sqref="A33">
    <cfRule type="duplicateValues" dxfId="10" priority="44"/>
  </conditionalFormatting>
  <conditionalFormatting sqref="G1:G1048576">
    <cfRule type="cellIs" dxfId="0" priority="1" operator="greaterThan">
      <formula>0.15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Daily_Returns</vt:lpstr>
      <vt:lpstr>Trades_Log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Phuong Uyen</cp:lastModifiedBy>
  <dcterms:created xsi:type="dcterms:W3CDTF">2026-02-27T07:43:10Z</dcterms:created>
  <dcterms:modified xsi:type="dcterms:W3CDTF">2026-03-09T08:41:25Z</dcterms:modified>
</cp:coreProperties>
</file>