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AD8A0567-6C21-40B6-8149-09CF4C699C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aily_Returns" sheetId="2" r:id="rId2"/>
    <sheet name="Trades_Log" sheetId="3" r:id="rId3"/>
  </sheets>
  <definedNames>
    <definedName name="_xlnm._FilterDatabase" localSheetId="2" hidden="1">Trades_Log!$A$49:$H$59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C6" i="1"/>
  <c r="D6" i="1"/>
  <c r="E10" i="1"/>
  <c r="B6" i="1"/>
  <c r="B5" i="1"/>
  <c r="E6" i="1"/>
  <c r="E11" i="1"/>
  <c r="D11" i="1"/>
  <c r="D10" i="1"/>
  <c r="C11" i="1"/>
  <c r="C10" i="1"/>
  <c r="B10" i="1"/>
  <c r="B11" i="1"/>
</calcChain>
</file>

<file path=xl/sharedStrings.xml><?xml version="1.0" encoding="utf-8"?>
<sst xmlns="http://schemas.openxmlformats.org/spreadsheetml/2006/main" count="253" uniqueCount="111">
  <si>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</si>
  <si>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</si>
  <si>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</si>
  <si>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</si>
  <si>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</si>
  <si>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</si>
  <si>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</si>
  <si>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</si>
  <si>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</si>
  <si>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</si>
  <si>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</si>
  <si>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</si>
  <si>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</si>
  <si>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</si>
  <si>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</si>
  <si>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</si>
  <si>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</si>
  <si>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</si>
  <si>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</si>
  <si>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Return at the end (%)</t>
  </si>
  <si>
    <t>NT2</t>
  </si>
  <si>
    <t>Win Rate (%) - Return &gt; 0</t>
  </si>
  <si>
    <t>Take Profit (%)</t>
  </si>
  <si>
    <t>Stop Loss (%)</t>
  </si>
  <si>
    <t>DHG</t>
  </si>
  <si>
    <t>VTP</t>
  </si>
  <si>
    <t>DBD</t>
  </si>
  <si>
    <t>FPT</t>
  </si>
  <si>
    <t>FIR</t>
  </si>
  <si>
    <t>VPD</t>
  </si>
  <si>
    <t>Max Return</t>
  </si>
  <si>
    <t>2022Q1</t>
  </si>
  <si>
    <t>ADS</t>
  </si>
  <si>
    <t>2022-01-04</t>
  </si>
  <si>
    <t>2022-01-17</t>
  </si>
  <si>
    <t>CHP</t>
  </si>
  <si>
    <t>2022-03-31</t>
  </si>
  <si>
    <t>DC4</t>
  </si>
  <si>
    <t>2022-01-10</t>
  </si>
  <si>
    <t>DXG</t>
  </si>
  <si>
    <t>2022-03-04</t>
  </si>
  <si>
    <t>HNA</t>
  </si>
  <si>
    <t>LCG</t>
  </si>
  <si>
    <t>2022-01-19</t>
  </si>
  <si>
    <t>PHR</t>
  </si>
  <si>
    <t>PLP</t>
  </si>
  <si>
    <t>SCR</t>
  </si>
  <si>
    <t>TNH</t>
  </si>
  <si>
    <t>2022-02-07</t>
  </si>
  <si>
    <t>VGC</t>
  </si>
  <si>
    <t>2022-01-18</t>
  </si>
  <si>
    <t>VGS</t>
  </si>
  <si>
    <t>2022-01-14</t>
  </si>
  <si>
    <t>VSC</t>
  </si>
  <si>
    <t>2022Q2</t>
  </si>
  <si>
    <t>Q2/2022</t>
  </si>
  <si>
    <t>Q1/2022</t>
  </si>
  <si>
    <t>2022-04-01</t>
  </si>
  <si>
    <t>2022-04-25</t>
  </si>
  <si>
    <t>2022-06-30</t>
  </si>
  <si>
    <t>2022-05-13</t>
  </si>
  <si>
    <t>HAG</t>
  </si>
  <si>
    <t>2022-04-19</t>
  </si>
  <si>
    <t>2022-04-12</t>
  </si>
  <si>
    <t>2022-05-09</t>
  </si>
  <si>
    <t>2022-04-20</t>
  </si>
  <si>
    <t>2022-06-09</t>
  </si>
  <si>
    <t>Q3/2022</t>
  </si>
  <si>
    <t>2022Q3</t>
  </si>
  <si>
    <t>2022-07-01</t>
  </si>
  <si>
    <t>2022-09-12</t>
  </si>
  <si>
    <t>2022-09-30</t>
  </si>
  <si>
    <t>DGC</t>
  </si>
  <si>
    <t>2022-07-06</t>
  </si>
  <si>
    <t>KDC</t>
  </si>
  <si>
    <t>VPI</t>
  </si>
  <si>
    <t>2022Q4</t>
  </si>
  <si>
    <t>BCM</t>
  </si>
  <si>
    <t>2022-10-03</t>
  </si>
  <si>
    <t>2022-11-04</t>
  </si>
  <si>
    <t>2022-12-30</t>
  </si>
  <si>
    <t>2022-11-10</t>
  </si>
  <si>
    <t>TLG</t>
  </si>
  <si>
    <t>Q4/2022</t>
  </si>
  <si>
    <t>2022-08-26</t>
  </si>
  <si>
    <t>VSH</t>
  </si>
  <si>
    <t>AGG</t>
  </si>
  <si>
    <t>BFC</t>
  </si>
  <si>
    <t>2022-04-08</t>
  </si>
  <si>
    <t>DMC</t>
  </si>
  <si>
    <t>EIB</t>
  </si>
  <si>
    <t>FRT</t>
  </si>
  <si>
    <t>2022-05-10</t>
  </si>
  <si>
    <t>HTG</t>
  </si>
  <si>
    <t>HUB</t>
  </si>
  <si>
    <t>2022-04-13</t>
  </si>
  <si>
    <t>PC1</t>
  </si>
  <si>
    <t>2022-04-22</t>
  </si>
  <si>
    <t>TV3</t>
  </si>
  <si>
    <t>HPX</t>
  </si>
  <si>
    <t>PNJ</t>
  </si>
  <si>
    <t>2022-08-12</t>
  </si>
  <si>
    <t>2022-08-08</t>
  </si>
  <si>
    <t>2022-10-27</t>
  </si>
  <si>
    <t>2022-10-11</t>
  </si>
  <si>
    <t>2022-11-09</t>
  </si>
  <si>
    <t>NVL</t>
  </si>
  <si>
    <t>2022-11-02</t>
  </si>
  <si>
    <t>SAB</t>
  </si>
  <si>
    <t>SHI</t>
  </si>
  <si>
    <t>VEA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</si>
</sst>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0" xfId="0" applyNumberFormat="1"/>
    <xf numFmtId="164" fontId="5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0" fontId="3" fillId="0" borderId="0" xfId="0" applyFont="1"/>
    <xf numFmtId="10" fontId="3" fillId="0" borderId="0" xfId="2" applyNumberFormat="1" applyFont="1"/>
    <xf numFmtId="14" fontId="3" fillId="0" borderId="0" xfId="0" applyNumberFormat="1" applyFont="1"/>
    <xf numFmtId="10" fontId="2" fillId="0" borderId="1" xfId="2" applyNumberFormat="1" applyFont="1" applyBorder="1"/>
    <xf numFmtId="164" fontId="6" fillId="0" borderId="1" xfId="1" applyNumberFormat="1" applyFont="1" applyBorder="1"/>
    <xf numFmtId="2" fontId="0" fillId="0" borderId="0" xfId="2" applyNumberFormat="1" applyFont="1"/>
    <xf numFmtId="10" fontId="7" fillId="0" borderId="1" xfId="2" applyNumberFormat="1" applyFont="1" applyBorder="1"/>
    <xf numFmtId="2" fontId="3" fillId="0" borderId="0" xfId="2" applyNumberFormat="1" applyFont="1"/>
    <xf numFmtId="10" fontId="2" fillId="0" borderId="0" xfId="2" applyNumberFormat="1" applyFont="1"/>
    <xf numFmtId="10" fontId="7" fillId="0" borderId="1" xfId="2" quotePrefix="1" applyNumberFormat="1" applyFont="1" applyBorder="1"/>
    <xf numFmtId="2" fontId="2" fillId="0" borderId="0" xfId="2" applyNumberFormat="1" applyFont="1"/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8"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Daily_Returns!$A$2:$A$251</c:f>
              <c:numCache>
                <c:formatCode>m/d/yyyy</c:formatCode>
                <c:ptCount val="250"/>
                <c:pt idx="0">
                  <c:v>44565</c:v>
                </c:pt>
                <c:pt idx="1">
                  <c:v>44566</c:v>
                </c:pt>
                <c:pt idx="2">
                  <c:v>44567</c:v>
                </c:pt>
                <c:pt idx="3">
                  <c:v>44568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44578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44599</c:v>
                </c:pt>
                <c:pt idx="20">
                  <c:v>44600</c:v>
                </c:pt>
                <c:pt idx="21">
                  <c:v>44601</c:v>
                </c:pt>
                <c:pt idx="22">
                  <c:v>44602</c:v>
                </c:pt>
                <c:pt idx="23">
                  <c:v>44603</c:v>
                </c:pt>
                <c:pt idx="24">
                  <c:v>44606</c:v>
                </c:pt>
                <c:pt idx="25">
                  <c:v>44607</c:v>
                </c:pt>
                <c:pt idx="26">
                  <c:v>44608</c:v>
                </c:pt>
                <c:pt idx="27">
                  <c:v>44609</c:v>
                </c:pt>
                <c:pt idx="28">
                  <c:v>44610</c:v>
                </c:pt>
                <c:pt idx="29">
                  <c:v>44613</c:v>
                </c:pt>
                <c:pt idx="30">
                  <c:v>44614</c:v>
                </c:pt>
                <c:pt idx="31">
                  <c:v>44615</c:v>
                </c:pt>
                <c:pt idx="32">
                  <c:v>44616</c:v>
                </c:pt>
                <c:pt idx="33">
                  <c:v>44617</c:v>
                </c:pt>
                <c:pt idx="34">
                  <c:v>44620</c:v>
                </c:pt>
                <c:pt idx="35">
                  <c:v>44621</c:v>
                </c:pt>
                <c:pt idx="36">
                  <c:v>44622</c:v>
                </c:pt>
                <c:pt idx="37">
                  <c:v>44623</c:v>
                </c:pt>
                <c:pt idx="38">
                  <c:v>44624</c:v>
                </c:pt>
                <c:pt idx="39">
                  <c:v>44627</c:v>
                </c:pt>
                <c:pt idx="40">
                  <c:v>44628</c:v>
                </c:pt>
                <c:pt idx="41">
                  <c:v>44629</c:v>
                </c:pt>
                <c:pt idx="42">
                  <c:v>44630</c:v>
                </c:pt>
                <c:pt idx="43">
                  <c:v>44631</c:v>
                </c:pt>
                <c:pt idx="44">
                  <c:v>44634</c:v>
                </c:pt>
                <c:pt idx="45">
                  <c:v>44635</c:v>
                </c:pt>
                <c:pt idx="46">
                  <c:v>44636</c:v>
                </c:pt>
                <c:pt idx="47">
                  <c:v>44637</c:v>
                </c:pt>
                <c:pt idx="48">
                  <c:v>44638</c:v>
                </c:pt>
                <c:pt idx="49">
                  <c:v>44641</c:v>
                </c:pt>
                <c:pt idx="50">
                  <c:v>44642</c:v>
                </c:pt>
                <c:pt idx="51">
                  <c:v>44643</c:v>
                </c:pt>
                <c:pt idx="52">
                  <c:v>44644</c:v>
                </c:pt>
                <c:pt idx="53">
                  <c:v>44645</c:v>
                </c:pt>
                <c:pt idx="54">
                  <c:v>44648</c:v>
                </c:pt>
                <c:pt idx="55">
                  <c:v>44649</c:v>
                </c:pt>
                <c:pt idx="56">
                  <c:v>44650</c:v>
                </c:pt>
                <c:pt idx="57">
                  <c:v>44651</c:v>
                </c:pt>
                <c:pt idx="58">
                  <c:v>44652</c:v>
                </c:pt>
                <c:pt idx="59">
                  <c:v>44655</c:v>
                </c:pt>
                <c:pt idx="60">
                  <c:v>44656</c:v>
                </c:pt>
                <c:pt idx="61">
                  <c:v>44657</c:v>
                </c:pt>
                <c:pt idx="62">
                  <c:v>44658</c:v>
                </c:pt>
                <c:pt idx="63">
                  <c:v>44659</c:v>
                </c:pt>
                <c:pt idx="64">
                  <c:v>44663</c:v>
                </c:pt>
                <c:pt idx="65">
                  <c:v>44664</c:v>
                </c:pt>
                <c:pt idx="66">
                  <c:v>44665</c:v>
                </c:pt>
                <c:pt idx="67">
                  <c:v>44666</c:v>
                </c:pt>
                <c:pt idx="68">
                  <c:v>44669</c:v>
                </c:pt>
                <c:pt idx="69">
                  <c:v>44670</c:v>
                </c:pt>
                <c:pt idx="70">
                  <c:v>44671</c:v>
                </c:pt>
                <c:pt idx="71">
                  <c:v>44672</c:v>
                </c:pt>
                <c:pt idx="72">
                  <c:v>44673</c:v>
                </c:pt>
                <c:pt idx="73">
                  <c:v>44676</c:v>
                </c:pt>
                <c:pt idx="74">
                  <c:v>44677</c:v>
                </c:pt>
                <c:pt idx="75">
                  <c:v>44678</c:v>
                </c:pt>
                <c:pt idx="76">
                  <c:v>44679</c:v>
                </c:pt>
                <c:pt idx="77">
                  <c:v>44680</c:v>
                </c:pt>
                <c:pt idx="78">
                  <c:v>44685</c:v>
                </c:pt>
                <c:pt idx="79">
                  <c:v>44686</c:v>
                </c:pt>
                <c:pt idx="80">
                  <c:v>44687</c:v>
                </c:pt>
                <c:pt idx="81">
                  <c:v>44690</c:v>
                </c:pt>
                <c:pt idx="82">
                  <c:v>44691</c:v>
                </c:pt>
                <c:pt idx="83">
                  <c:v>44692</c:v>
                </c:pt>
                <c:pt idx="84">
                  <c:v>44693</c:v>
                </c:pt>
                <c:pt idx="85">
                  <c:v>44694</c:v>
                </c:pt>
                <c:pt idx="86">
                  <c:v>44697</c:v>
                </c:pt>
                <c:pt idx="87">
                  <c:v>44698</c:v>
                </c:pt>
                <c:pt idx="88">
                  <c:v>44699</c:v>
                </c:pt>
                <c:pt idx="89">
                  <c:v>44700</c:v>
                </c:pt>
                <c:pt idx="90">
                  <c:v>44701</c:v>
                </c:pt>
                <c:pt idx="91">
                  <c:v>44704</c:v>
                </c:pt>
                <c:pt idx="92">
                  <c:v>44705</c:v>
                </c:pt>
                <c:pt idx="93">
                  <c:v>44706</c:v>
                </c:pt>
                <c:pt idx="94">
                  <c:v>44707</c:v>
                </c:pt>
                <c:pt idx="95">
                  <c:v>44708</c:v>
                </c:pt>
                <c:pt idx="96">
                  <c:v>44711</c:v>
                </c:pt>
                <c:pt idx="97">
                  <c:v>44712</c:v>
                </c:pt>
                <c:pt idx="98">
                  <c:v>44713</c:v>
                </c:pt>
                <c:pt idx="99">
                  <c:v>44714</c:v>
                </c:pt>
                <c:pt idx="100">
                  <c:v>44715</c:v>
                </c:pt>
                <c:pt idx="101">
                  <c:v>44718</c:v>
                </c:pt>
                <c:pt idx="102">
                  <c:v>44719</c:v>
                </c:pt>
                <c:pt idx="103">
                  <c:v>44720</c:v>
                </c:pt>
                <c:pt idx="104">
                  <c:v>44721</c:v>
                </c:pt>
                <c:pt idx="105">
                  <c:v>44722</c:v>
                </c:pt>
                <c:pt idx="106">
                  <c:v>44725</c:v>
                </c:pt>
                <c:pt idx="107">
                  <c:v>44726</c:v>
                </c:pt>
                <c:pt idx="108">
                  <c:v>44727</c:v>
                </c:pt>
                <c:pt idx="109">
                  <c:v>44728</c:v>
                </c:pt>
                <c:pt idx="110">
                  <c:v>44729</c:v>
                </c:pt>
                <c:pt idx="111">
                  <c:v>44732</c:v>
                </c:pt>
                <c:pt idx="112">
                  <c:v>44733</c:v>
                </c:pt>
                <c:pt idx="113">
                  <c:v>44734</c:v>
                </c:pt>
                <c:pt idx="114">
                  <c:v>44735</c:v>
                </c:pt>
                <c:pt idx="115">
                  <c:v>44736</c:v>
                </c:pt>
                <c:pt idx="116">
                  <c:v>44739</c:v>
                </c:pt>
                <c:pt idx="117">
                  <c:v>44740</c:v>
                </c:pt>
                <c:pt idx="118">
                  <c:v>44741</c:v>
                </c:pt>
                <c:pt idx="119">
                  <c:v>44742</c:v>
                </c:pt>
                <c:pt idx="120">
                  <c:v>44743</c:v>
                </c:pt>
                <c:pt idx="121">
                  <c:v>44746</c:v>
                </c:pt>
                <c:pt idx="122">
                  <c:v>44747</c:v>
                </c:pt>
                <c:pt idx="123">
                  <c:v>44748</c:v>
                </c:pt>
                <c:pt idx="124">
                  <c:v>44749</c:v>
                </c:pt>
                <c:pt idx="125">
                  <c:v>44750</c:v>
                </c:pt>
                <c:pt idx="126">
                  <c:v>44753</c:v>
                </c:pt>
                <c:pt idx="127">
                  <c:v>44754</c:v>
                </c:pt>
                <c:pt idx="128">
                  <c:v>44755</c:v>
                </c:pt>
                <c:pt idx="129">
                  <c:v>44756</c:v>
                </c:pt>
                <c:pt idx="130">
                  <c:v>44757</c:v>
                </c:pt>
                <c:pt idx="131">
                  <c:v>44760</c:v>
                </c:pt>
                <c:pt idx="132">
                  <c:v>44761</c:v>
                </c:pt>
                <c:pt idx="133">
                  <c:v>44762</c:v>
                </c:pt>
                <c:pt idx="134">
                  <c:v>44763</c:v>
                </c:pt>
                <c:pt idx="135">
                  <c:v>44764</c:v>
                </c:pt>
                <c:pt idx="136">
                  <c:v>44767</c:v>
                </c:pt>
                <c:pt idx="137">
                  <c:v>44768</c:v>
                </c:pt>
                <c:pt idx="138">
                  <c:v>44769</c:v>
                </c:pt>
                <c:pt idx="139">
                  <c:v>44770</c:v>
                </c:pt>
                <c:pt idx="140">
                  <c:v>44771</c:v>
                </c:pt>
                <c:pt idx="141">
                  <c:v>44774</c:v>
                </c:pt>
                <c:pt idx="142">
                  <c:v>44775</c:v>
                </c:pt>
                <c:pt idx="143">
                  <c:v>44776</c:v>
                </c:pt>
                <c:pt idx="144">
                  <c:v>44777</c:v>
                </c:pt>
                <c:pt idx="145">
                  <c:v>44778</c:v>
                </c:pt>
                <c:pt idx="146">
                  <c:v>44781</c:v>
                </c:pt>
                <c:pt idx="147">
                  <c:v>44782</c:v>
                </c:pt>
                <c:pt idx="148">
                  <c:v>44783</c:v>
                </c:pt>
                <c:pt idx="149">
                  <c:v>44784</c:v>
                </c:pt>
                <c:pt idx="150">
                  <c:v>44785</c:v>
                </c:pt>
                <c:pt idx="151">
                  <c:v>44788</c:v>
                </c:pt>
                <c:pt idx="152">
                  <c:v>44789</c:v>
                </c:pt>
                <c:pt idx="153">
                  <c:v>44790</c:v>
                </c:pt>
                <c:pt idx="154">
                  <c:v>44791</c:v>
                </c:pt>
                <c:pt idx="155">
                  <c:v>44792</c:v>
                </c:pt>
                <c:pt idx="156">
                  <c:v>44795</c:v>
                </c:pt>
                <c:pt idx="157">
                  <c:v>44796</c:v>
                </c:pt>
                <c:pt idx="158">
                  <c:v>44797</c:v>
                </c:pt>
                <c:pt idx="159">
                  <c:v>44798</c:v>
                </c:pt>
                <c:pt idx="160">
                  <c:v>44799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44809</c:v>
                </c:pt>
                <c:pt idx="165">
                  <c:v>44810</c:v>
                </c:pt>
                <c:pt idx="166">
                  <c:v>44811</c:v>
                </c:pt>
                <c:pt idx="167">
                  <c:v>44812</c:v>
                </c:pt>
                <c:pt idx="168">
                  <c:v>44813</c:v>
                </c:pt>
                <c:pt idx="169">
                  <c:v>44816</c:v>
                </c:pt>
                <c:pt idx="170">
                  <c:v>44817</c:v>
                </c:pt>
                <c:pt idx="171">
                  <c:v>44818</c:v>
                </c:pt>
                <c:pt idx="172">
                  <c:v>44819</c:v>
                </c:pt>
                <c:pt idx="173">
                  <c:v>44820</c:v>
                </c:pt>
                <c:pt idx="174">
                  <c:v>44823</c:v>
                </c:pt>
                <c:pt idx="175">
                  <c:v>44824</c:v>
                </c:pt>
                <c:pt idx="176">
                  <c:v>44825</c:v>
                </c:pt>
                <c:pt idx="177">
                  <c:v>44826</c:v>
                </c:pt>
                <c:pt idx="178">
                  <c:v>44827</c:v>
                </c:pt>
                <c:pt idx="179">
                  <c:v>44830</c:v>
                </c:pt>
                <c:pt idx="180">
                  <c:v>44831</c:v>
                </c:pt>
                <c:pt idx="181">
                  <c:v>44832</c:v>
                </c:pt>
                <c:pt idx="182">
                  <c:v>44833</c:v>
                </c:pt>
                <c:pt idx="183">
                  <c:v>44834</c:v>
                </c:pt>
                <c:pt idx="184">
                  <c:v>44837</c:v>
                </c:pt>
                <c:pt idx="185">
                  <c:v>44838</c:v>
                </c:pt>
                <c:pt idx="186">
                  <c:v>44839</c:v>
                </c:pt>
                <c:pt idx="187">
                  <c:v>44840</c:v>
                </c:pt>
                <c:pt idx="188">
                  <c:v>44841</c:v>
                </c:pt>
                <c:pt idx="189">
                  <c:v>44844</c:v>
                </c:pt>
                <c:pt idx="190">
                  <c:v>44845</c:v>
                </c:pt>
                <c:pt idx="191">
                  <c:v>44846</c:v>
                </c:pt>
                <c:pt idx="192">
                  <c:v>44847</c:v>
                </c:pt>
                <c:pt idx="193">
                  <c:v>44848</c:v>
                </c:pt>
                <c:pt idx="194">
                  <c:v>44851</c:v>
                </c:pt>
                <c:pt idx="195">
                  <c:v>44852</c:v>
                </c:pt>
                <c:pt idx="196">
                  <c:v>44853</c:v>
                </c:pt>
                <c:pt idx="197">
                  <c:v>44854</c:v>
                </c:pt>
                <c:pt idx="198">
                  <c:v>44855</c:v>
                </c:pt>
                <c:pt idx="199">
                  <c:v>44858</c:v>
                </c:pt>
                <c:pt idx="200">
                  <c:v>44859</c:v>
                </c:pt>
                <c:pt idx="201">
                  <c:v>44860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44873</c:v>
                </c:pt>
                <c:pt idx="211">
                  <c:v>44874</c:v>
                </c:pt>
                <c:pt idx="212">
                  <c:v>44875</c:v>
                </c:pt>
                <c:pt idx="213">
                  <c:v>44876</c:v>
                </c:pt>
                <c:pt idx="214">
                  <c:v>44879</c:v>
                </c:pt>
                <c:pt idx="215">
                  <c:v>44880</c:v>
                </c:pt>
                <c:pt idx="216">
                  <c:v>44881</c:v>
                </c:pt>
                <c:pt idx="217">
                  <c:v>44882</c:v>
                </c:pt>
                <c:pt idx="218">
                  <c:v>44883</c:v>
                </c:pt>
                <c:pt idx="219">
                  <c:v>44886</c:v>
                </c:pt>
                <c:pt idx="220">
                  <c:v>44887</c:v>
                </c:pt>
                <c:pt idx="221">
                  <c:v>44888</c:v>
                </c:pt>
                <c:pt idx="222">
                  <c:v>44889</c:v>
                </c:pt>
                <c:pt idx="223">
                  <c:v>44890</c:v>
                </c:pt>
                <c:pt idx="224">
                  <c:v>44893</c:v>
                </c:pt>
                <c:pt idx="225">
                  <c:v>44894</c:v>
                </c:pt>
                <c:pt idx="226">
                  <c:v>44895</c:v>
                </c:pt>
                <c:pt idx="227">
                  <c:v>44896</c:v>
                </c:pt>
                <c:pt idx="228">
                  <c:v>44897</c:v>
                </c:pt>
                <c:pt idx="229">
                  <c:v>44900</c:v>
                </c:pt>
                <c:pt idx="230">
                  <c:v>44901</c:v>
                </c:pt>
                <c:pt idx="231">
                  <c:v>44902</c:v>
                </c:pt>
                <c:pt idx="232">
                  <c:v>44903</c:v>
                </c:pt>
                <c:pt idx="233">
                  <c:v>44904</c:v>
                </c:pt>
                <c:pt idx="234">
                  <c:v>44907</c:v>
                </c:pt>
                <c:pt idx="235">
                  <c:v>44908</c:v>
                </c:pt>
                <c:pt idx="236">
                  <c:v>44909</c:v>
                </c:pt>
                <c:pt idx="237">
                  <c:v>44910</c:v>
                </c:pt>
                <c:pt idx="238">
                  <c:v>44911</c:v>
                </c:pt>
                <c:pt idx="239">
                  <c:v>44914</c:v>
                </c:pt>
                <c:pt idx="240">
                  <c:v>44915</c:v>
                </c:pt>
                <c:pt idx="241">
                  <c:v>44916</c:v>
                </c:pt>
                <c:pt idx="242">
                  <c:v>44917</c:v>
                </c:pt>
                <c:pt idx="243">
                  <c:v>44918</c:v>
                </c:pt>
                <c:pt idx="244">
                  <c:v>44921</c:v>
                </c:pt>
                <c:pt idx="245">
                  <c:v>44922</c:v>
                </c:pt>
                <c:pt idx="246">
                  <c:v>44923</c:v>
                </c:pt>
                <c:pt idx="247">
                  <c:v>44924</c:v>
                </c:pt>
                <c:pt idx="248">
                  <c:v>44925</c:v>
                </c:pt>
              </c:numCache>
            </c:numRef>
          </c:cat>
          <c:val>
            <c:numRef>
              <c:f>Daily_Returns!$B$2:$B$251</c:f>
              <c:numCache>
                <c:formatCode>_(* #,##0_);_(* \(#,##0\);_(* "-"??_);_(@_)</c:formatCode>
                <c:ptCount val="250"/>
                <c:pt idx="0">
                  <c:v>1000000000</c:v>
                </c:pt>
                <c:pt idx="1">
                  <c:v>1006463945.367033</c:v>
                </c:pt>
                <c:pt idx="2">
                  <c:v>1024173858.900013</c:v>
                </c:pt>
                <c:pt idx="3">
                  <c:v>1034951669.354097</c:v>
                </c:pt>
                <c:pt idx="4">
                  <c:v>1016375159.114406</c:v>
                </c:pt>
                <c:pt idx="5">
                  <c:v>1010139331.84638</c:v>
                </c:pt>
                <c:pt idx="6">
                  <c:v>1001765421.985726</c:v>
                </c:pt>
                <c:pt idx="7">
                  <c:v>975439659.73734021</c:v>
                </c:pt>
                <c:pt idx="8">
                  <c:v>974407231.06003475</c:v>
                </c:pt>
                <c:pt idx="9">
                  <c:v>937238925.22150218</c:v>
                </c:pt>
                <c:pt idx="10">
                  <c:v>926855013.8182447</c:v>
                </c:pt>
                <c:pt idx="11">
                  <c:v>918548549.80097926</c:v>
                </c:pt>
                <c:pt idx="12">
                  <c:v>934585061.0696336</c:v>
                </c:pt>
                <c:pt idx="13">
                  <c:v>931055682.67510724</c:v>
                </c:pt>
                <c:pt idx="14">
                  <c:v>914428815.15810347</c:v>
                </c:pt>
                <c:pt idx="15">
                  <c:v>915912685.56189013</c:v>
                </c:pt>
                <c:pt idx="16">
                  <c:v>915593470.61511946</c:v>
                </c:pt>
                <c:pt idx="17">
                  <c:v>913597843.69901359</c:v>
                </c:pt>
                <c:pt idx="18">
                  <c:v>915111287.01828372</c:v>
                </c:pt>
                <c:pt idx="19">
                  <c:v>919745052.36543322</c:v>
                </c:pt>
                <c:pt idx="20">
                  <c:v>924392846.72759223</c:v>
                </c:pt>
                <c:pt idx="21">
                  <c:v>923148816.45662355</c:v>
                </c:pt>
                <c:pt idx="22">
                  <c:v>931193717.03122497</c:v>
                </c:pt>
                <c:pt idx="23">
                  <c:v>929120398.29736269</c:v>
                </c:pt>
                <c:pt idx="24">
                  <c:v>924510377.22058618</c:v>
                </c:pt>
                <c:pt idx="25">
                  <c:v>930354188.77293491</c:v>
                </c:pt>
                <c:pt idx="26">
                  <c:v>926895507.11283255</c:v>
                </c:pt>
                <c:pt idx="27">
                  <c:v>936339666.7125448</c:v>
                </c:pt>
                <c:pt idx="28">
                  <c:v>939080404.61326694</c:v>
                </c:pt>
                <c:pt idx="29">
                  <c:v>945190006.17559969</c:v>
                </c:pt>
                <c:pt idx="30">
                  <c:v>946038374.93595576</c:v>
                </c:pt>
                <c:pt idx="31">
                  <c:v>949752194.89488721</c:v>
                </c:pt>
                <c:pt idx="32">
                  <c:v>944817030.04186559</c:v>
                </c:pt>
                <c:pt idx="33">
                  <c:v>949573789.44925141</c:v>
                </c:pt>
                <c:pt idx="34">
                  <c:v>946843602.69852412</c:v>
                </c:pt>
                <c:pt idx="35">
                  <c:v>952073645.13343608</c:v>
                </c:pt>
                <c:pt idx="36">
                  <c:v>954421554.12859714</c:v>
                </c:pt>
                <c:pt idx="37">
                  <c:v>966791042.09953427</c:v>
                </c:pt>
                <c:pt idx="38">
                  <c:v>966095379.75428832</c:v>
                </c:pt>
                <c:pt idx="39">
                  <c:v>969006764.48788011</c:v>
                </c:pt>
                <c:pt idx="40">
                  <c:v>964121670.35490048</c:v>
                </c:pt>
                <c:pt idx="41">
                  <c:v>971609020.16335714</c:v>
                </c:pt>
                <c:pt idx="42">
                  <c:v>972477834.48508942</c:v>
                </c:pt>
                <c:pt idx="43">
                  <c:v>966423622.79760599</c:v>
                </c:pt>
                <c:pt idx="44">
                  <c:v>954863443.53634059</c:v>
                </c:pt>
                <c:pt idx="45">
                  <c:v>955165748.48697293</c:v>
                </c:pt>
                <c:pt idx="46">
                  <c:v>956697218.8165499</c:v>
                </c:pt>
                <c:pt idx="47">
                  <c:v>963613683.398839</c:v>
                </c:pt>
                <c:pt idx="48">
                  <c:v>963462694.47790456</c:v>
                </c:pt>
                <c:pt idx="49">
                  <c:v>968604947.59149933</c:v>
                </c:pt>
                <c:pt idx="50">
                  <c:v>962886905.86089551</c:v>
                </c:pt>
                <c:pt idx="51">
                  <c:v>966855066.82615447</c:v>
                </c:pt>
                <c:pt idx="52">
                  <c:v>970171693.29748952</c:v>
                </c:pt>
                <c:pt idx="53">
                  <c:v>973601157.02486157</c:v>
                </c:pt>
                <c:pt idx="54">
                  <c:v>974848759.3545078</c:v>
                </c:pt>
                <c:pt idx="55">
                  <c:v>985840480.26346433</c:v>
                </c:pt>
                <c:pt idx="56">
                  <c:v>982546776.02919567</c:v>
                </c:pt>
                <c:pt idx="57">
                  <c:v>983499761.35310948</c:v>
                </c:pt>
                <c:pt idx="58">
                  <c:v>983499761.00000012</c:v>
                </c:pt>
                <c:pt idx="59">
                  <c:v>976782975.86913168</c:v>
                </c:pt>
                <c:pt idx="60">
                  <c:v>973774371.4724884</c:v>
                </c:pt>
                <c:pt idx="61">
                  <c:v>970112000.31723547</c:v>
                </c:pt>
                <c:pt idx="62">
                  <c:v>952416052.75531375</c:v>
                </c:pt>
                <c:pt idx="63">
                  <c:v>926486775.80104911</c:v>
                </c:pt>
                <c:pt idx="64">
                  <c:v>912546786.48484349</c:v>
                </c:pt>
                <c:pt idx="65">
                  <c:v>936318210.21154404</c:v>
                </c:pt>
                <c:pt idx="66">
                  <c:v>948934610.96249545</c:v>
                </c:pt>
                <c:pt idx="67">
                  <c:v>955267621.522066</c:v>
                </c:pt>
                <c:pt idx="68">
                  <c:v>957060594.44748449</c:v>
                </c:pt>
                <c:pt idx="69">
                  <c:v>957859208.55099559</c:v>
                </c:pt>
                <c:pt idx="70">
                  <c:v>944470066.17551577</c:v>
                </c:pt>
                <c:pt idx="71">
                  <c:v>944494244.82883143</c:v>
                </c:pt>
                <c:pt idx="72">
                  <c:v>927108887.22639811</c:v>
                </c:pt>
                <c:pt idx="73">
                  <c:v>886247196.78876567</c:v>
                </c:pt>
                <c:pt idx="74">
                  <c:v>894622538.6524322</c:v>
                </c:pt>
                <c:pt idx="75">
                  <c:v>901144125.82540309</c:v>
                </c:pt>
                <c:pt idx="76">
                  <c:v>908045397.85946882</c:v>
                </c:pt>
                <c:pt idx="77">
                  <c:v>917668566.43212056</c:v>
                </c:pt>
                <c:pt idx="78">
                  <c:v>916788042.94598174</c:v>
                </c:pt>
                <c:pt idx="79">
                  <c:v>912388297.48658252</c:v>
                </c:pt>
                <c:pt idx="80">
                  <c:v>900729080.1005497</c:v>
                </c:pt>
                <c:pt idx="81">
                  <c:v>869804178.40078914</c:v>
                </c:pt>
                <c:pt idx="82">
                  <c:v>870301593.50108874</c:v>
                </c:pt>
                <c:pt idx="83">
                  <c:v>872052343.91676879</c:v>
                </c:pt>
                <c:pt idx="84">
                  <c:v>861690730.40122485</c:v>
                </c:pt>
                <c:pt idx="85">
                  <c:v>850851152.55539429</c:v>
                </c:pt>
                <c:pt idx="86">
                  <c:v>850233230.95740569</c:v>
                </c:pt>
                <c:pt idx="87">
                  <c:v>850854266.47410417</c:v>
                </c:pt>
                <c:pt idx="88">
                  <c:v>854380921.84848511</c:v>
                </c:pt>
                <c:pt idx="89">
                  <c:v>853092267.54900646</c:v>
                </c:pt>
                <c:pt idx="90">
                  <c:v>855141177.78871083</c:v>
                </c:pt>
                <c:pt idx="91">
                  <c:v>853414277.2471714</c:v>
                </c:pt>
                <c:pt idx="92">
                  <c:v>849989412.68034744</c:v>
                </c:pt>
                <c:pt idx="93">
                  <c:v>858076694.03672028</c:v>
                </c:pt>
                <c:pt idx="94">
                  <c:v>860752154.30486178</c:v>
                </c:pt>
                <c:pt idx="95">
                  <c:v>863964602.64795732</c:v>
                </c:pt>
                <c:pt idx="96">
                  <c:v>863848106.80701339</c:v>
                </c:pt>
                <c:pt idx="97">
                  <c:v>866068854.38635445</c:v>
                </c:pt>
                <c:pt idx="98">
                  <c:v>867508557.08693707</c:v>
                </c:pt>
                <c:pt idx="99">
                  <c:v>866387855.44602954</c:v>
                </c:pt>
                <c:pt idx="100">
                  <c:v>863808294.10804534</c:v>
                </c:pt>
                <c:pt idx="101">
                  <c:v>864264505.99160469</c:v>
                </c:pt>
                <c:pt idx="102">
                  <c:v>868297586.86890399</c:v>
                </c:pt>
                <c:pt idx="103">
                  <c:v>870518680.54610288</c:v>
                </c:pt>
                <c:pt idx="104">
                  <c:v>874114063.79125321</c:v>
                </c:pt>
                <c:pt idx="105">
                  <c:v>872508361.10504222</c:v>
                </c:pt>
                <c:pt idx="106">
                  <c:v>868686006.72413087</c:v>
                </c:pt>
                <c:pt idx="107">
                  <c:v>860950987.8537941</c:v>
                </c:pt>
                <c:pt idx="108">
                  <c:v>863169775.63430488</c:v>
                </c:pt>
                <c:pt idx="109">
                  <c:v>863235445.12181509</c:v>
                </c:pt>
                <c:pt idx="110">
                  <c:v>858342817.04451692</c:v>
                </c:pt>
                <c:pt idx="111">
                  <c:v>859319848.19366026</c:v>
                </c:pt>
                <c:pt idx="112">
                  <c:v>861978922.8609513</c:v>
                </c:pt>
                <c:pt idx="113">
                  <c:v>859085210.9430958</c:v>
                </c:pt>
                <c:pt idx="114">
                  <c:v>860337415.89071</c:v>
                </c:pt>
                <c:pt idx="115">
                  <c:v>861848895.03385401</c:v>
                </c:pt>
                <c:pt idx="116">
                  <c:v>864064268.26008773</c:v>
                </c:pt>
                <c:pt idx="117">
                  <c:v>863850623.50846517</c:v>
                </c:pt>
                <c:pt idx="118">
                  <c:v>864179109.79005635</c:v>
                </c:pt>
                <c:pt idx="119">
                  <c:v>860319530.00650609</c:v>
                </c:pt>
                <c:pt idx="120">
                  <c:v>860319530.00000012</c:v>
                </c:pt>
                <c:pt idx="121">
                  <c:v>852436408.84563661</c:v>
                </c:pt>
                <c:pt idx="122">
                  <c:v>834271048.35387921</c:v>
                </c:pt>
                <c:pt idx="123">
                  <c:v>818677328.52732909</c:v>
                </c:pt>
                <c:pt idx="124">
                  <c:v>820469438.9752959</c:v>
                </c:pt>
                <c:pt idx="125">
                  <c:v>826502404.38215506</c:v>
                </c:pt>
                <c:pt idx="126">
                  <c:v>829458510.37141812</c:v>
                </c:pt>
                <c:pt idx="127">
                  <c:v>834409300.86695123</c:v>
                </c:pt>
                <c:pt idx="128">
                  <c:v>838528990.86240613</c:v>
                </c:pt>
                <c:pt idx="129">
                  <c:v>843089378.19382167</c:v>
                </c:pt>
                <c:pt idx="130">
                  <c:v>844736702.21594584</c:v>
                </c:pt>
                <c:pt idx="131">
                  <c:v>845174001.82931423</c:v>
                </c:pt>
                <c:pt idx="132">
                  <c:v>846970945.35069621</c:v>
                </c:pt>
                <c:pt idx="133">
                  <c:v>854201408.1242981</c:v>
                </c:pt>
                <c:pt idx="134">
                  <c:v>855139374.30110681</c:v>
                </c:pt>
                <c:pt idx="135">
                  <c:v>858714509.07601929</c:v>
                </c:pt>
                <c:pt idx="136">
                  <c:v>860885143.85993147</c:v>
                </c:pt>
                <c:pt idx="137">
                  <c:v>863142315.19536924</c:v>
                </c:pt>
                <c:pt idx="138">
                  <c:v>869695906.73925197</c:v>
                </c:pt>
                <c:pt idx="139">
                  <c:v>882789999.14187288</c:v>
                </c:pt>
                <c:pt idx="140">
                  <c:v>880807239.55550373</c:v>
                </c:pt>
                <c:pt idx="141">
                  <c:v>895453251.90514767</c:v>
                </c:pt>
                <c:pt idx="142">
                  <c:v>893509381.9633764</c:v>
                </c:pt>
                <c:pt idx="143">
                  <c:v>890169879.33557987</c:v>
                </c:pt>
                <c:pt idx="144">
                  <c:v>887788983.92663693</c:v>
                </c:pt>
                <c:pt idx="145">
                  <c:v>886269910.32062292</c:v>
                </c:pt>
                <c:pt idx="146">
                  <c:v>890307751.36278903</c:v>
                </c:pt>
                <c:pt idx="147">
                  <c:v>894385397.01192439</c:v>
                </c:pt>
                <c:pt idx="148">
                  <c:v>898006273.91235316</c:v>
                </c:pt>
                <c:pt idx="149">
                  <c:v>893242535.3047657</c:v>
                </c:pt>
                <c:pt idx="150">
                  <c:v>891684708.12221205</c:v>
                </c:pt>
                <c:pt idx="151">
                  <c:v>894706947.81181884</c:v>
                </c:pt>
                <c:pt idx="152">
                  <c:v>900061863.85520732</c:v>
                </c:pt>
                <c:pt idx="153">
                  <c:v>897418864.2496171</c:v>
                </c:pt>
                <c:pt idx="154">
                  <c:v>898690202.91719925</c:v>
                </c:pt>
                <c:pt idx="155">
                  <c:v>897515531.17638743</c:v>
                </c:pt>
                <c:pt idx="156">
                  <c:v>893444204.54028606</c:v>
                </c:pt>
                <c:pt idx="157">
                  <c:v>894183201.21970522</c:v>
                </c:pt>
                <c:pt idx="158">
                  <c:v>900869294.59099519</c:v>
                </c:pt>
                <c:pt idx="159">
                  <c:v>903152760.38890445</c:v>
                </c:pt>
                <c:pt idx="160">
                  <c:v>906046160.98951614</c:v>
                </c:pt>
                <c:pt idx="161">
                  <c:v>900135903.44916975</c:v>
                </c:pt>
                <c:pt idx="162">
                  <c:v>901254765.10894239</c:v>
                </c:pt>
                <c:pt idx="163">
                  <c:v>900115497.05151165</c:v>
                </c:pt>
                <c:pt idx="164">
                  <c:v>901630930.64609051</c:v>
                </c:pt>
                <c:pt idx="165">
                  <c:v>901725512.84575069</c:v>
                </c:pt>
                <c:pt idx="166">
                  <c:v>895712334.93008554</c:v>
                </c:pt>
                <c:pt idx="167">
                  <c:v>900309294.46410596</c:v>
                </c:pt>
                <c:pt idx="168">
                  <c:v>905745700.49370515</c:v>
                </c:pt>
                <c:pt idx="169">
                  <c:v>911934241.55333781</c:v>
                </c:pt>
                <c:pt idx="170">
                  <c:v>912356635.79801285</c:v>
                </c:pt>
                <c:pt idx="171">
                  <c:v>906299244.17499137</c:v>
                </c:pt>
                <c:pt idx="172">
                  <c:v>906268869.27701008</c:v>
                </c:pt>
                <c:pt idx="173">
                  <c:v>908324095.21723616</c:v>
                </c:pt>
                <c:pt idx="174">
                  <c:v>906149832.81966269</c:v>
                </c:pt>
                <c:pt idx="175">
                  <c:v>909039394.56748939</c:v>
                </c:pt>
                <c:pt idx="176">
                  <c:v>908463499.94755256</c:v>
                </c:pt>
                <c:pt idx="177">
                  <c:v>911831232.47330022</c:v>
                </c:pt>
                <c:pt idx="178">
                  <c:v>913672830.84657121</c:v>
                </c:pt>
                <c:pt idx="179">
                  <c:v>906143734.52345586</c:v>
                </c:pt>
                <c:pt idx="180">
                  <c:v>907240018.22597754</c:v>
                </c:pt>
                <c:pt idx="181">
                  <c:v>907158467.34773493</c:v>
                </c:pt>
                <c:pt idx="182">
                  <c:v>909286881.64074898</c:v>
                </c:pt>
                <c:pt idx="183">
                  <c:v>907941339.58229697</c:v>
                </c:pt>
                <c:pt idx="184">
                  <c:v>907941340</c:v>
                </c:pt>
                <c:pt idx="185">
                  <c:v>905534824.45613837</c:v>
                </c:pt>
                <c:pt idx="186">
                  <c:v>925910612.10713911</c:v>
                </c:pt>
                <c:pt idx="187">
                  <c:v>910835114.00008869</c:v>
                </c:pt>
                <c:pt idx="188">
                  <c:v>899035725.81767678</c:v>
                </c:pt>
                <c:pt idx="189">
                  <c:v>903064043.00058532</c:v>
                </c:pt>
                <c:pt idx="190">
                  <c:v>885135501.2247448</c:v>
                </c:pt>
                <c:pt idx="191">
                  <c:v>889707815.99911213</c:v>
                </c:pt>
                <c:pt idx="192">
                  <c:v>896162155.33414352</c:v>
                </c:pt>
                <c:pt idx="193">
                  <c:v>898300355.1784904</c:v>
                </c:pt>
                <c:pt idx="194">
                  <c:v>895710969.23190033</c:v>
                </c:pt>
                <c:pt idx="195">
                  <c:v>901088222.8131814</c:v>
                </c:pt>
                <c:pt idx="196">
                  <c:v>898978603.71553576</c:v>
                </c:pt>
                <c:pt idx="197">
                  <c:v>896310225.00369048</c:v>
                </c:pt>
                <c:pt idx="198">
                  <c:v>889512240.26906252</c:v>
                </c:pt>
                <c:pt idx="199">
                  <c:v>875297267.40812433</c:v>
                </c:pt>
                <c:pt idx="200">
                  <c:v>890175850.78985572</c:v>
                </c:pt>
                <c:pt idx="201">
                  <c:v>889824568.52788234</c:v>
                </c:pt>
                <c:pt idx="202">
                  <c:v>896394109.75663602</c:v>
                </c:pt>
                <c:pt idx="203">
                  <c:v>897608885.21617496</c:v>
                </c:pt>
                <c:pt idx="204">
                  <c:v>892875426.93905425</c:v>
                </c:pt>
                <c:pt idx="205">
                  <c:v>896278339.72530043</c:v>
                </c:pt>
                <c:pt idx="206">
                  <c:v>892739866.0999887</c:v>
                </c:pt>
                <c:pt idx="207">
                  <c:v>883805746.59823632</c:v>
                </c:pt>
                <c:pt idx="208">
                  <c:v>877854471.91460419</c:v>
                </c:pt>
                <c:pt idx="209">
                  <c:v>868775890.66544843</c:v>
                </c:pt>
                <c:pt idx="210">
                  <c:v>869050266.093714</c:v>
                </c:pt>
                <c:pt idx="211">
                  <c:v>868679474.16753614</c:v>
                </c:pt>
                <c:pt idx="212">
                  <c:v>857935770.40516937</c:v>
                </c:pt>
                <c:pt idx="213">
                  <c:v>861235494.70036948</c:v>
                </c:pt>
                <c:pt idx="214">
                  <c:v>862232277.92720747</c:v>
                </c:pt>
                <c:pt idx="215">
                  <c:v>851984126.8855828</c:v>
                </c:pt>
                <c:pt idx="216">
                  <c:v>845843379.68261445</c:v>
                </c:pt>
                <c:pt idx="217">
                  <c:v>857089136.14924431</c:v>
                </c:pt>
                <c:pt idx="218">
                  <c:v>856679203.55849051</c:v>
                </c:pt>
                <c:pt idx="219">
                  <c:v>857528367.86850095</c:v>
                </c:pt>
                <c:pt idx="220">
                  <c:v>849472700.16633368</c:v>
                </c:pt>
                <c:pt idx="221">
                  <c:v>854550285.4028132</c:v>
                </c:pt>
                <c:pt idx="222">
                  <c:v>856882920.27536309</c:v>
                </c:pt>
                <c:pt idx="223">
                  <c:v>861921660.10998011</c:v>
                </c:pt>
                <c:pt idx="224">
                  <c:v>865969009.59072828</c:v>
                </c:pt>
                <c:pt idx="225">
                  <c:v>868097208.64585125</c:v>
                </c:pt>
                <c:pt idx="226">
                  <c:v>871999035.37567806</c:v>
                </c:pt>
                <c:pt idx="227">
                  <c:v>866297172.47490835</c:v>
                </c:pt>
                <c:pt idx="228">
                  <c:v>867068813.76311564</c:v>
                </c:pt>
                <c:pt idx="229">
                  <c:v>869568729.67747581</c:v>
                </c:pt>
                <c:pt idx="230">
                  <c:v>865656231.05673635</c:v>
                </c:pt>
                <c:pt idx="231">
                  <c:v>864696229.89558017</c:v>
                </c:pt>
                <c:pt idx="232">
                  <c:v>863105906.16490471</c:v>
                </c:pt>
                <c:pt idx="233">
                  <c:v>864820867.30462933</c:v>
                </c:pt>
                <c:pt idx="234">
                  <c:v>863919367.29440987</c:v>
                </c:pt>
                <c:pt idx="235">
                  <c:v>864063465.50376117</c:v>
                </c:pt>
                <c:pt idx="236">
                  <c:v>865495721.60219669</c:v>
                </c:pt>
                <c:pt idx="237">
                  <c:v>867716082.58980966</c:v>
                </c:pt>
                <c:pt idx="238">
                  <c:v>865334315.87525117</c:v>
                </c:pt>
                <c:pt idx="239">
                  <c:v>863219042.32732081</c:v>
                </c:pt>
                <c:pt idx="240">
                  <c:v>861347958.04789138</c:v>
                </c:pt>
                <c:pt idx="241">
                  <c:v>862669899.79945755</c:v>
                </c:pt>
                <c:pt idx="242">
                  <c:v>862019927.54509485</c:v>
                </c:pt>
                <c:pt idx="243">
                  <c:v>862847741.82005751</c:v>
                </c:pt>
                <c:pt idx="244">
                  <c:v>859451184.67300093</c:v>
                </c:pt>
                <c:pt idx="245">
                  <c:v>860655906.04133594</c:v>
                </c:pt>
                <c:pt idx="246">
                  <c:v>866344437.89179552</c:v>
                </c:pt>
                <c:pt idx="247">
                  <c:v>865911990.96840024</c:v>
                </c:pt>
                <c:pt idx="248">
                  <c:v>860856457.3489871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ax val="1050000000"/>
          <c:min val="79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1430420</xdr:colOff>
      <xdr:row>4</xdr:row>
      <xdr:rowOff>0</xdr:rowOff>
    </xdr:from>
    <xdr:to>
      <xdr:col>11</xdr:col>
      <xdr:colOff>367631</xdr:colOff>
      <xdr:row>18</xdr:row>
      <xdr:rowOff>168108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4" sqref="G4"/>
    </sheetView>
  </sheetViews>
  <sheetFormatPr defaultRowHeight="14.5" x14ac:dyDescent="0.35"/>
  <cols>
    <col min="1" max="5" width="19.6328125" customWidth="1"/>
    <col min="7" max="7" width="12.6328125" bestFit="1" customWidth="1"/>
  </cols>
  <sheetData>
    <row r="1" spans="1:7" x14ac:dyDescent="0.35">
      <c r="A1" s="1" t="s">
        <v>0</v>
      </c>
      <c r="B1" s="8" t="s">
        <v>31</v>
      </c>
      <c r="C1" s="8" t="s">
        <v>54</v>
      </c>
      <c r="D1" s="1" t="s">
        <v>68</v>
      </c>
      <c r="E1" s="1" t="s">
        <v>76</v>
      </c>
    </row>
    <row r="2" spans="1:7" x14ac:dyDescent="0.35">
      <c r="A2" s="9" t="s">
        <v>1</v>
      </c>
      <c r="B2" s="10">
        <v>1000000000</v>
      </c>
      <c r="C2" s="10">
        <v>983499761</v>
      </c>
      <c r="D2" s="10">
        <v>860319530</v>
      </c>
      <c r="E2" s="10">
        <v>907941340</v>
      </c>
    </row>
    <row r="3" spans="1:7" x14ac:dyDescent="0.35">
      <c r="A3" s="9" t="s">
        <v>2</v>
      </c>
      <c r="B3" s="10">
        <v>983499761.35310948</v>
      </c>
      <c r="C3" s="10">
        <v>860319530.00650609</v>
      </c>
      <c r="D3" s="10">
        <v>907941339.58229697</v>
      </c>
      <c r="E3" s="10">
        <v>860856457.3489871</v>
      </c>
      <c r="G3" s="29">
        <f>E3-B2</f>
        <v>-139143542.6510129</v>
      </c>
    </row>
    <row r="4" spans="1:7" x14ac:dyDescent="0.35">
      <c r="A4" s="9" t="s">
        <v>3</v>
      </c>
      <c r="B4" s="21">
        <v>-16500238.646890519</v>
      </c>
      <c r="C4" s="10">
        <v>-123180230.9934939</v>
      </c>
      <c r="D4" s="10">
        <v>47621809.582296968</v>
      </c>
      <c r="E4" s="14">
        <v>-47084882.651012897</v>
      </c>
      <c r="G4" s="11">
        <f>(E3-B2)/B2</f>
        <v>-0.13914354265101289</v>
      </c>
    </row>
    <row r="5" spans="1:7" x14ac:dyDescent="0.35">
      <c r="A5" s="9" t="s">
        <v>19</v>
      </c>
      <c r="B5" s="12">
        <f>-165.002386468905%/100</f>
        <v>-1.65002386468905E-2</v>
      </c>
      <c r="C5" s="20">
        <v>-0.12524683368326101</v>
      </c>
      <c r="D5" s="12">
        <v>5.5353630740309898E-2</v>
      </c>
      <c r="E5" s="12">
        <v>-5.1858947904071521E-2</v>
      </c>
    </row>
    <row r="6" spans="1:7" x14ac:dyDescent="0.35">
      <c r="A6" s="9" t="s">
        <v>30</v>
      </c>
      <c r="B6" s="26">
        <f>(MAX(Daily_Returns!B2:B59)-Daily_Returns!B2)/Daily_Returns!B2</f>
        <v>3.4951669354097006E-2</v>
      </c>
      <c r="C6" s="20">
        <f>(MAX(Daily_Returns!B61:B121)-Daily_Returns!B59)/Daily_Returns!B59</f>
        <v>-6.829473425328309E-3</v>
      </c>
      <c r="D6" s="20">
        <f>(MAX(Daily_Returns!B122:B185)-Daily_Returns!B122)/Daily_Returns!B122</f>
        <v>6.2015680204971148E-2</v>
      </c>
      <c r="E6" s="23">
        <f>(MAX(Daily_Returns!B185:B249)-Daily_Returns!B185)/Daily_Returns!B185</f>
        <v>1.9791226306656549E-2</v>
      </c>
    </row>
    <row r="7" spans="1:7" x14ac:dyDescent="0.35">
      <c r="A7" s="9" t="s">
        <v>4</v>
      </c>
      <c r="B7" s="12">
        <v>-3.7174029125204601E-2</v>
      </c>
      <c r="C7" s="20">
        <v>-0.1357502600548702</v>
      </c>
      <c r="D7" s="12">
        <v>-4.8403180470250426E-2</v>
      </c>
      <c r="E7" s="12">
        <v>-8.6474041206107174E-2</v>
      </c>
    </row>
    <row r="8" spans="1:7" x14ac:dyDescent="0.35">
      <c r="A8" s="9" t="s">
        <v>5</v>
      </c>
      <c r="B8" s="12">
        <v>-7.2214369847003199E-3</v>
      </c>
      <c r="C8" s="12">
        <v>-0.13575026005487009</v>
      </c>
      <c r="D8" s="12">
        <v>-4.8403180470250294E-2</v>
      </c>
      <c r="E8" s="12">
        <v>-6.83942426472018E-2</v>
      </c>
    </row>
    <row r="9" spans="1:7" x14ac:dyDescent="0.35">
      <c r="A9" s="9" t="s">
        <v>21</v>
      </c>
      <c r="B9" s="12">
        <v>0.4</v>
      </c>
      <c r="C9" s="12">
        <v>0.22222222222222221</v>
      </c>
      <c r="D9" s="12">
        <v>0.63636363636363635</v>
      </c>
      <c r="E9" s="12">
        <v>0.38461538461538469</v>
      </c>
    </row>
    <row r="10" spans="1:7" x14ac:dyDescent="0.35">
      <c r="A10" s="9" t="s">
        <v>22</v>
      </c>
      <c r="B10" s="12">
        <f>COUNTIF(Trades_Log!H3:H16,"Take Profit")/ROWS(Trades_Log!A3:A16)</f>
        <v>0.14285714285714285</v>
      </c>
      <c r="C10" s="12">
        <f>COUNTIF(Trades_Log!H18:H35,"Take Profit")/ROWS(Trades_Log!H18:H35)</f>
        <v>5.5555555555555552E-2</v>
      </c>
      <c r="D10" s="12">
        <f>COUNTIF(Trades_Log!H37:H47,"Take Profit")/ROWS(Trades_Log!H37:H47)</f>
        <v>0.36363636363636365</v>
      </c>
      <c r="E10" s="12">
        <f>COUNTIF(Trades_Log!H49:H59,"Take Profit")/ROWS(Trades_Log!H49:H59)</f>
        <v>9.0909090909090912E-2</v>
      </c>
    </row>
    <row r="11" spans="1:7" x14ac:dyDescent="0.35">
      <c r="A11" s="9" t="s">
        <v>23</v>
      </c>
      <c r="B11" s="12">
        <f>COUNTIF(Trades_Log!H3:H16,"Stop Loss")/ROWS(Trades_Log!A3:A16)</f>
        <v>0.42857142857142855</v>
      </c>
      <c r="C11" s="12">
        <f>COUNTIF(Trades_Log!H18:H35,"Stop Loss")/ROWS(Trades_Log!H18:H35)</f>
        <v>0.66666666666666663</v>
      </c>
      <c r="D11" s="12">
        <f>COUNTIF(Trades_Log!H37:H47,"Stop Loss")/ROWS(Trades_Log!H37:H47)</f>
        <v>0.18181818181818182</v>
      </c>
      <c r="E11" s="12">
        <f>COUNTIF(Trades_Log!H49:H59,"Stop Loss")/ROWS(Trades_Log!H49:H59)</f>
        <v>0.36363636363636365</v>
      </c>
    </row>
    <row r="13" spans="1:7" x14ac:dyDescent="0.35">
      <c r="C13" s="13"/>
    </row>
  </sheetData>
  <conditionalFormatting sqref="B4:E4">
    <cfRule type="cellIs" dxfId="17" priority="1" operator="lessThan">
      <formula>0</formula>
    </cfRule>
  </conditionalFormatting>
  <pageMargins left="0.75" right="0.75" top="1" bottom="1" header="0.5" footer="0.5"/>
  <ignoredErrors>
    <ignoredError sqref="D6:E6 B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topLeftCell="A241" zoomScale="95" zoomScaleNormal="95" workbookViewId="0">
      <selection activeCell="A186" sqref="A186:B250"/>
    </sheetView>
  </sheetViews>
  <sheetFormatPr defaultRowHeight="14.5" x14ac:dyDescent="0.35"/>
  <cols>
    <col min="1" max="1" width="20.453125" style="3" customWidth="1"/>
    <col min="2" max="2" width="20.453125" style="4" customWidth="1"/>
    <col min="3" max="3" width="9" customWidth="1"/>
    <col min="7" max="7" width="14.08984375" bestFit="1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44565</v>
      </c>
      <c r="B2" s="4">
        <v>1000000000</v>
      </c>
    </row>
    <row r="3" spans="1:2" x14ac:dyDescent="0.35">
      <c r="A3" s="3">
        <v>44566</v>
      </c>
      <c r="B3" s="4">
        <v>1006463945.367033</v>
      </c>
    </row>
    <row r="4" spans="1:2" x14ac:dyDescent="0.35">
      <c r="A4" s="3">
        <v>44567</v>
      </c>
      <c r="B4" s="4">
        <v>1024173858.900013</v>
      </c>
    </row>
    <row r="5" spans="1:2" x14ac:dyDescent="0.35">
      <c r="A5" s="3">
        <v>44568</v>
      </c>
      <c r="B5" s="4">
        <v>1034951669.354097</v>
      </c>
    </row>
    <row r="6" spans="1:2" x14ac:dyDescent="0.35">
      <c r="A6" s="3">
        <v>44571</v>
      </c>
      <c r="B6" s="4">
        <v>1016375159.114406</v>
      </c>
    </row>
    <row r="7" spans="1:2" x14ac:dyDescent="0.35">
      <c r="A7" s="3">
        <v>44572</v>
      </c>
      <c r="B7" s="4">
        <v>1010139331.84638</v>
      </c>
    </row>
    <row r="8" spans="1:2" x14ac:dyDescent="0.35">
      <c r="A8" s="3">
        <v>44573</v>
      </c>
      <c r="B8" s="4">
        <v>1001765421.985726</v>
      </c>
    </row>
    <row r="9" spans="1:2" x14ac:dyDescent="0.35">
      <c r="A9" s="3">
        <v>44574</v>
      </c>
      <c r="B9" s="4">
        <v>975439659.73734021</v>
      </c>
    </row>
    <row r="10" spans="1:2" x14ac:dyDescent="0.35">
      <c r="A10" s="3">
        <v>44575</v>
      </c>
      <c r="B10" s="4">
        <v>974407231.06003475</v>
      </c>
    </row>
    <row r="11" spans="1:2" x14ac:dyDescent="0.35">
      <c r="A11" s="3">
        <v>44578</v>
      </c>
      <c r="B11" s="4">
        <v>937238925.22150218</v>
      </c>
    </row>
    <row r="12" spans="1:2" x14ac:dyDescent="0.35">
      <c r="A12" s="3">
        <v>44579</v>
      </c>
      <c r="B12" s="4">
        <v>926855013.8182447</v>
      </c>
    </row>
    <row r="13" spans="1:2" x14ac:dyDescent="0.35">
      <c r="A13" s="3">
        <v>44580</v>
      </c>
      <c r="B13" s="4">
        <v>918548549.80097926</v>
      </c>
    </row>
    <row r="14" spans="1:2" x14ac:dyDescent="0.35">
      <c r="A14" s="3">
        <v>44581</v>
      </c>
      <c r="B14" s="4">
        <v>934585061.0696336</v>
      </c>
    </row>
    <row r="15" spans="1:2" x14ac:dyDescent="0.35">
      <c r="A15" s="3">
        <v>44582</v>
      </c>
      <c r="B15" s="4">
        <v>931055682.67510724</v>
      </c>
    </row>
    <row r="16" spans="1:2" x14ac:dyDescent="0.35">
      <c r="A16" s="3">
        <v>44585</v>
      </c>
      <c r="B16" s="4">
        <v>914428815.15810347</v>
      </c>
    </row>
    <row r="17" spans="1:7" x14ac:dyDescent="0.35">
      <c r="A17" s="3">
        <v>44586</v>
      </c>
      <c r="B17" s="4">
        <v>915912685.56189013</v>
      </c>
    </row>
    <row r="18" spans="1:7" x14ac:dyDescent="0.35">
      <c r="A18" s="3">
        <v>44587</v>
      </c>
      <c r="B18" s="4">
        <v>915593470.61511946</v>
      </c>
    </row>
    <row r="19" spans="1:7" x14ac:dyDescent="0.35">
      <c r="A19" s="3">
        <v>44588</v>
      </c>
      <c r="B19" s="4">
        <v>913597843.69901359</v>
      </c>
    </row>
    <row r="20" spans="1:7" x14ac:dyDescent="0.35">
      <c r="A20" s="3">
        <v>44589</v>
      </c>
      <c r="B20" s="4">
        <v>915111287.01828372</v>
      </c>
    </row>
    <row r="21" spans="1:7" x14ac:dyDescent="0.35">
      <c r="A21" s="3">
        <v>44599</v>
      </c>
      <c r="B21" s="4">
        <v>919745052.36543322</v>
      </c>
    </row>
    <row r="22" spans="1:7" x14ac:dyDescent="0.35">
      <c r="A22" s="3">
        <v>44600</v>
      </c>
      <c r="B22" s="4">
        <v>924392846.72759223</v>
      </c>
    </row>
    <row r="23" spans="1:7" x14ac:dyDescent="0.35">
      <c r="A23" s="3">
        <v>44601</v>
      </c>
      <c r="B23" s="4">
        <v>923148816.45662355</v>
      </c>
    </row>
    <row r="24" spans="1:7" x14ac:dyDescent="0.35">
      <c r="A24" s="3">
        <v>44602</v>
      </c>
      <c r="B24" s="4">
        <v>931193717.03122497</v>
      </c>
    </row>
    <row r="25" spans="1:7" x14ac:dyDescent="0.35">
      <c r="A25" s="3">
        <v>44603</v>
      </c>
      <c r="B25" s="4">
        <v>929120398.29736269</v>
      </c>
    </row>
    <row r="26" spans="1:7" x14ac:dyDescent="0.35">
      <c r="A26" s="3">
        <v>44606</v>
      </c>
      <c r="B26" s="4">
        <v>924510377.22058618</v>
      </c>
    </row>
    <row r="27" spans="1:7" x14ac:dyDescent="0.35">
      <c r="A27" s="3">
        <v>44607</v>
      </c>
      <c r="B27" s="4">
        <v>930354188.77293491</v>
      </c>
      <c r="G27" s="13"/>
    </row>
    <row r="28" spans="1:7" x14ac:dyDescent="0.35">
      <c r="A28" s="3">
        <v>44608</v>
      </c>
      <c r="B28" s="4">
        <v>926895507.11283255</v>
      </c>
    </row>
    <row r="29" spans="1:7" x14ac:dyDescent="0.35">
      <c r="A29" s="3">
        <v>44609</v>
      </c>
      <c r="B29" s="4">
        <v>936339666.7125448</v>
      </c>
    </row>
    <row r="30" spans="1:7" x14ac:dyDescent="0.35">
      <c r="A30" s="3">
        <v>44610</v>
      </c>
      <c r="B30" s="4">
        <v>939080404.61326694</v>
      </c>
    </row>
    <row r="31" spans="1:7" x14ac:dyDescent="0.35">
      <c r="A31" s="3">
        <v>44613</v>
      </c>
      <c r="B31" s="4">
        <v>945190006.17559969</v>
      </c>
    </row>
    <row r="32" spans="1:7" x14ac:dyDescent="0.35">
      <c r="A32" s="3">
        <v>44614</v>
      </c>
      <c r="B32" s="4">
        <v>946038374.93595576</v>
      </c>
    </row>
    <row r="33" spans="1:2" x14ac:dyDescent="0.35">
      <c r="A33" s="3">
        <v>44615</v>
      </c>
      <c r="B33" s="4">
        <v>949752194.89488721</v>
      </c>
    </row>
    <row r="34" spans="1:2" x14ac:dyDescent="0.35">
      <c r="A34" s="3">
        <v>44616</v>
      </c>
      <c r="B34" s="4">
        <v>944817030.04186559</v>
      </c>
    </row>
    <row r="35" spans="1:2" x14ac:dyDescent="0.35">
      <c r="A35" s="3">
        <v>44617</v>
      </c>
      <c r="B35" s="4">
        <v>949573789.44925141</v>
      </c>
    </row>
    <row r="36" spans="1:2" x14ac:dyDescent="0.35">
      <c r="A36" s="3">
        <v>44620</v>
      </c>
      <c r="B36" s="4">
        <v>946843602.69852412</v>
      </c>
    </row>
    <row r="37" spans="1:2" x14ac:dyDescent="0.35">
      <c r="A37" s="3">
        <v>44621</v>
      </c>
      <c r="B37" s="4">
        <v>952073645.13343608</v>
      </c>
    </row>
    <row r="38" spans="1:2" x14ac:dyDescent="0.35">
      <c r="A38" s="3">
        <v>44622</v>
      </c>
      <c r="B38" s="4">
        <v>954421554.12859714</v>
      </c>
    </row>
    <row r="39" spans="1:2" x14ac:dyDescent="0.35">
      <c r="A39" s="3">
        <v>44623</v>
      </c>
      <c r="B39" s="4">
        <v>966791042.09953427</v>
      </c>
    </row>
    <row r="40" spans="1:2" x14ac:dyDescent="0.35">
      <c r="A40" s="3">
        <v>44624</v>
      </c>
      <c r="B40" s="4">
        <v>966095379.75428832</v>
      </c>
    </row>
    <row r="41" spans="1:2" x14ac:dyDescent="0.35">
      <c r="A41" s="3">
        <v>44627</v>
      </c>
      <c r="B41" s="4">
        <v>969006764.48788011</v>
      </c>
    </row>
    <row r="42" spans="1:2" x14ac:dyDescent="0.35">
      <c r="A42" s="3">
        <v>44628</v>
      </c>
      <c r="B42" s="4">
        <v>964121670.35490048</v>
      </c>
    </row>
    <row r="43" spans="1:2" x14ac:dyDescent="0.35">
      <c r="A43" s="3">
        <v>44629</v>
      </c>
      <c r="B43" s="4">
        <v>971609020.16335714</v>
      </c>
    </row>
    <row r="44" spans="1:2" x14ac:dyDescent="0.35">
      <c r="A44" s="3">
        <v>44630</v>
      </c>
      <c r="B44" s="4">
        <v>972477834.48508942</v>
      </c>
    </row>
    <row r="45" spans="1:2" x14ac:dyDescent="0.35">
      <c r="A45" s="3">
        <v>44631</v>
      </c>
      <c r="B45" s="4">
        <v>966423622.79760599</v>
      </c>
    </row>
    <row r="46" spans="1:2" x14ac:dyDescent="0.35">
      <c r="A46" s="3">
        <v>44634</v>
      </c>
      <c r="B46" s="4">
        <v>954863443.53634059</v>
      </c>
    </row>
    <row r="47" spans="1:2" x14ac:dyDescent="0.35">
      <c r="A47" s="3">
        <v>44635</v>
      </c>
      <c r="B47" s="4">
        <v>955165748.48697293</v>
      </c>
    </row>
    <row r="48" spans="1:2" x14ac:dyDescent="0.35">
      <c r="A48" s="3">
        <v>44636</v>
      </c>
      <c r="B48" s="4">
        <v>956697218.8165499</v>
      </c>
    </row>
    <row r="49" spans="1:2" x14ac:dyDescent="0.35">
      <c r="A49" s="3">
        <v>44637</v>
      </c>
      <c r="B49" s="4">
        <v>963613683.398839</v>
      </c>
    </row>
    <row r="50" spans="1:2" x14ac:dyDescent="0.35">
      <c r="A50" s="3">
        <v>44638</v>
      </c>
      <c r="B50" s="4">
        <v>963462694.47790456</v>
      </c>
    </row>
    <row r="51" spans="1:2" x14ac:dyDescent="0.35">
      <c r="A51" s="3">
        <v>44641</v>
      </c>
      <c r="B51" s="4">
        <v>968604947.59149933</v>
      </c>
    </row>
    <row r="52" spans="1:2" x14ac:dyDescent="0.35">
      <c r="A52" s="3">
        <v>44642</v>
      </c>
      <c r="B52" s="4">
        <v>962886905.86089551</v>
      </c>
    </row>
    <row r="53" spans="1:2" x14ac:dyDescent="0.35">
      <c r="A53" s="3">
        <v>44643</v>
      </c>
      <c r="B53" s="4">
        <v>966855066.82615447</v>
      </c>
    </row>
    <row r="54" spans="1:2" x14ac:dyDescent="0.35">
      <c r="A54" s="3">
        <v>44644</v>
      </c>
      <c r="B54" s="4">
        <v>970171693.29748952</v>
      </c>
    </row>
    <row r="55" spans="1:2" x14ac:dyDescent="0.35">
      <c r="A55" s="3">
        <v>44645</v>
      </c>
      <c r="B55" s="4">
        <v>973601157.02486157</v>
      </c>
    </row>
    <row r="56" spans="1:2" x14ac:dyDescent="0.35">
      <c r="A56" s="3">
        <v>44648</v>
      </c>
      <c r="B56" s="4">
        <v>974848759.3545078</v>
      </c>
    </row>
    <row r="57" spans="1:2" x14ac:dyDescent="0.35">
      <c r="A57" s="3">
        <v>44649</v>
      </c>
      <c r="B57" s="4">
        <v>985840480.26346433</v>
      </c>
    </row>
    <row r="58" spans="1:2" x14ac:dyDescent="0.35">
      <c r="A58" s="3">
        <v>44650</v>
      </c>
      <c r="B58" s="4">
        <v>982546776.02919567</v>
      </c>
    </row>
    <row r="59" spans="1:2" x14ac:dyDescent="0.35">
      <c r="A59" s="3">
        <v>44651</v>
      </c>
      <c r="B59" s="4">
        <v>983499761.35310948</v>
      </c>
    </row>
    <row r="60" spans="1:2" x14ac:dyDescent="0.35">
      <c r="A60" s="3">
        <v>44652</v>
      </c>
      <c r="B60" s="4">
        <v>983499761.00000012</v>
      </c>
    </row>
    <row r="61" spans="1:2" x14ac:dyDescent="0.35">
      <c r="A61" s="3">
        <v>44655</v>
      </c>
      <c r="B61" s="4">
        <v>976782975.86913168</v>
      </c>
    </row>
    <row r="62" spans="1:2" x14ac:dyDescent="0.35">
      <c r="A62" s="3">
        <v>44656</v>
      </c>
      <c r="B62" s="4">
        <v>973774371.4724884</v>
      </c>
    </row>
    <row r="63" spans="1:2" x14ac:dyDescent="0.35">
      <c r="A63" s="3">
        <v>44657</v>
      </c>
      <c r="B63" s="4">
        <v>970112000.31723547</v>
      </c>
    </row>
    <row r="64" spans="1:2" x14ac:dyDescent="0.35">
      <c r="A64" s="3">
        <v>44658</v>
      </c>
      <c r="B64" s="4">
        <v>952416052.75531375</v>
      </c>
    </row>
    <row r="65" spans="1:2" x14ac:dyDescent="0.35">
      <c r="A65" s="3">
        <v>44659</v>
      </c>
      <c r="B65" s="4">
        <v>926486775.80104911</v>
      </c>
    </row>
    <row r="66" spans="1:2" x14ac:dyDescent="0.35">
      <c r="A66" s="3">
        <v>44663</v>
      </c>
      <c r="B66" s="4">
        <v>912546786.48484349</v>
      </c>
    </row>
    <row r="67" spans="1:2" x14ac:dyDescent="0.35">
      <c r="A67" s="3">
        <v>44664</v>
      </c>
      <c r="B67" s="4">
        <v>936318210.21154404</v>
      </c>
    </row>
    <row r="68" spans="1:2" x14ac:dyDescent="0.35">
      <c r="A68" s="3">
        <v>44665</v>
      </c>
      <c r="B68" s="4">
        <v>948934610.96249545</v>
      </c>
    </row>
    <row r="69" spans="1:2" x14ac:dyDescent="0.35">
      <c r="A69" s="3">
        <v>44666</v>
      </c>
      <c r="B69" s="4">
        <v>955267621.522066</v>
      </c>
    </row>
    <row r="70" spans="1:2" x14ac:dyDescent="0.35">
      <c r="A70" s="3">
        <v>44669</v>
      </c>
      <c r="B70" s="4">
        <v>957060594.44748449</v>
      </c>
    </row>
    <row r="71" spans="1:2" x14ac:dyDescent="0.35">
      <c r="A71" s="3">
        <v>44670</v>
      </c>
      <c r="B71" s="4">
        <v>957859208.55099559</v>
      </c>
    </row>
    <row r="72" spans="1:2" x14ac:dyDescent="0.35">
      <c r="A72" s="3">
        <v>44671</v>
      </c>
      <c r="B72" s="4">
        <v>944470066.17551577</v>
      </c>
    </row>
    <row r="73" spans="1:2" x14ac:dyDescent="0.35">
      <c r="A73" s="3">
        <v>44672</v>
      </c>
      <c r="B73" s="4">
        <v>944494244.82883143</v>
      </c>
    </row>
    <row r="74" spans="1:2" x14ac:dyDescent="0.35">
      <c r="A74" s="3">
        <v>44673</v>
      </c>
      <c r="B74" s="4">
        <v>927108887.22639811</v>
      </c>
    </row>
    <row r="75" spans="1:2" x14ac:dyDescent="0.35">
      <c r="A75" s="3">
        <v>44676</v>
      </c>
      <c r="B75" s="4">
        <v>886247196.78876567</v>
      </c>
    </row>
    <row r="76" spans="1:2" x14ac:dyDescent="0.35">
      <c r="A76" s="3">
        <v>44677</v>
      </c>
      <c r="B76" s="4">
        <v>894622538.6524322</v>
      </c>
    </row>
    <row r="77" spans="1:2" x14ac:dyDescent="0.35">
      <c r="A77" s="3">
        <v>44678</v>
      </c>
      <c r="B77" s="4">
        <v>901144125.82540309</v>
      </c>
    </row>
    <row r="78" spans="1:2" x14ac:dyDescent="0.35">
      <c r="A78" s="3">
        <v>44679</v>
      </c>
      <c r="B78" s="4">
        <v>908045397.85946882</v>
      </c>
    </row>
    <row r="79" spans="1:2" x14ac:dyDescent="0.35">
      <c r="A79" s="3">
        <v>44680</v>
      </c>
      <c r="B79" s="4">
        <v>917668566.43212056</v>
      </c>
    </row>
    <row r="80" spans="1:2" x14ac:dyDescent="0.35">
      <c r="A80" s="3">
        <v>44685</v>
      </c>
      <c r="B80" s="4">
        <v>916788042.94598174</v>
      </c>
    </row>
    <row r="81" spans="1:2" x14ac:dyDescent="0.35">
      <c r="A81" s="3">
        <v>44686</v>
      </c>
      <c r="B81" s="4">
        <v>912388297.48658252</v>
      </c>
    </row>
    <row r="82" spans="1:2" x14ac:dyDescent="0.35">
      <c r="A82" s="3">
        <v>44687</v>
      </c>
      <c r="B82" s="4">
        <v>900729080.1005497</v>
      </c>
    </row>
    <row r="83" spans="1:2" x14ac:dyDescent="0.35">
      <c r="A83" s="3">
        <v>44690</v>
      </c>
      <c r="B83" s="4">
        <v>869804178.40078914</v>
      </c>
    </row>
    <row r="84" spans="1:2" x14ac:dyDescent="0.35">
      <c r="A84" s="3">
        <v>44691</v>
      </c>
      <c r="B84" s="4">
        <v>870301593.50108874</v>
      </c>
    </row>
    <row r="85" spans="1:2" x14ac:dyDescent="0.35">
      <c r="A85" s="3">
        <v>44692</v>
      </c>
      <c r="B85" s="4">
        <v>872052343.91676879</v>
      </c>
    </row>
    <row r="86" spans="1:2" x14ac:dyDescent="0.35">
      <c r="A86" s="3">
        <v>44693</v>
      </c>
      <c r="B86" s="4">
        <v>861690730.40122485</v>
      </c>
    </row>
    <row r="87" spans="1:2" x14ac:dyDescent="0.35">
      <c r="A87" s="3">
        <v>44694</v>
      </c>
      <c r="B87" s="4">
        <v>850851152.55539429</v>
      </c>
    </row>
    <row r="88" spans="1:2" x14ac:dyDescent="0.35">
      <c r="A88" s="3">
        <v>44697</v>
      </c>
      <c r="B88" s="4">
        <v>850233230.95740569</v>
      </c>
    </row>
    <row r="89" spans="1:2" x14ac:dyDescent="0.35">
      <c r="A89" s="3">
        <v>44698</v>
      </c>
      <c r="B89" s="4">
        <v>850854266.47410417</v>
      </c>
    </row>
    <row r="90" spans="1:2" x14ac:dyDescent="0.35">
      <c r="A90" s="3">
        <v>44699</v>
      </c>
      <c r="B90" s="4">
        <v>854380921.84848511</v>
      </c>
    </row>
    <row r="91" spans="1:2" x14ac:dyDescent="0.35">
      <c r="A91" s="3">
        <v>44700</v>
      </c>
      <c r="B91" s="4">
        <v>853092267.54900646</v>
      </c>
    </row>
    <row r="92" spans="1:2" x14ac:dyDescent="0.35">
      <c r="A92" s="3">
        <v>44701</v>
      </c>
      <c r="B92" s="4">
        <v>855141177.78871083</v>
      </c>
    </row>
    <row r="93" spans="1:2" x14ac:dyDescent="0.35">
      <c r="A93" s="3">
        <v>44704</v>
      </c>
      <c r="B93" s="4">
        <v>853414277.2471714</v>
      </c>
    </row>
    <row r="94" spans="1:2" x14ac:dyDescent="0.35">
      <c r="A94" s="3">
        <v>44705</v>
      </c>
      <c r="B94" s="4">
        <v>849989412.68034744</v>
      </c>
    </row>
    <row r="95" spans="1:2" x14ac:dyDescent="0.35">
      <c r="A95" s="3">
        <v>44706</v>
      </c>
      <c r="B95" s="4">
        <v>858076694.03672028</v>
      </c>
    </row>
    <row r="96" spans="1:2" x14ac:dyDescent="0.35">
      <c r="A96" s="3">
        <v>44707</v>
      </c>
      <c r="B96" s="4">
        <v>860752154.30486178</v>
      </c>
    </row>
    <row r="97" spans="1:2" x14ac:dyDescent="0.35">
      <c r="A97" s="3">
        <v>44708</v>
      </c>
      <c r="B97" s="4">
        <v>863964602.64795732</v>
      </c>
    </row>
    <row r="98" spans="1:2" x14ac:dyDescent="0.35">
      <c r="A98" s="3">
        <v>44711</v>
      </c>
      <c r="B98" s="4">
        <v>863848106.80701339</v>
      </c>
    </row>
    <row r="99" spans="1:2" x14ac:dyDescent="0.35">
      <c r="A99" s="3">
        <v>44712</v>
      </c>
      <c r="B99" s="4">
        <v>866068854.38635445</v>
      </c>
    </row>
    <row r="100" spans="1:2" x14ac:dyDescent="0.35">
      <c r="A100" s="3">
        <v>44713</v>
      </c>
      <c r="B100" s="4">
        <v>867508557.08693707</v>
      </c>
    </row>
    <row r="101" spans="1:2" x14ac:dyDescent="0.35">
      <c r="A101" s="3">
        <v>44714</v>
      </c>
      <c r="B101" s="4">
        <v>866387855.44602954</v>
      </c>
    </row>
    <row r="102" spans="1:2" x14ac:dyDescent="0.35">
      <c r="A102" s="3">
        <v>44715</v>
      </c>
      <c r="B102" s="4">
        <v>863808294.10804534</v>
      </c>
    </row>
    <row r="103" spans="1:2" x14ac:dyDescent="0.35">
      <c r="A103" s="3">
        <v>44718</v>
      </c>
      <c r="B103" s="4">
        <v>864264505.99160469</v>
      </c>
    </row>
    <row r="104" spans="1:2" x14ac:dyDescent="0.35">
      <c r="A104" s="3">
        <v>44719</v>
      </c>
      <c r="B104" s="4">
        <v>868297586.86890399</v>
      </c>
    </row>
    <row r="105" spans="1:2" x14ac:dyDescent="0.35">
      <c r="A105" s="3">
        <v>44720</v>
      </c>
      <c r="B105" s="4">
        <v>870518680.54610288</v>
      </c>
    </row>
    <row r="106" spans="1:2" x14ac:dyDescent="0.35">
      <c r="A106" s="3">
        <v>44721</v>
      </c>
      <c r="B106" s="4">
        <v>874114063.79125321</v>
      </c>
    </row>
    <row r="107" spans="1:2" x14ac:dyDescent="0.35">
      <c r="A107" s="3">
        <v>44722</v>
      </c>
      <c r="B107" s="4">
        <v>872508361.10504222</v>
      </c>
    </row>
    <row r="108" spans="1:2" x14ac:dyDescent="0.35">
      <c r="A108" s="3">
        <v>44725</v>
      </c>
      <c r="B108" s="4">
        <v>868686006.72413087</v>
      </c>
    </row>
    <row r="109" spans="1:2" x14ac:dyDescent="0.35">
      <c r="A109" s="3">
        <v>44726</v>
      </c>
      <c r="B109" s="4">
        <v>860950987.8537941</v>
      </c>
    </row>
    <row r="110" spans="1:2" x14ac:dyDescent="0.35">
      <c r="A110" s="3">
        <v>44727</v>
      </c>
      <c r="B110" s="4">
        <v>863169775.63430488</v>
      </c>
    </row>
    <row r="111" spans="1:2" x14ac:dyDescent="0.35">
      <c r="A111" s="3">
        <v>44728</v>
      </c>
      <c r="B111" s="4">
        <v>863235445.12181509</v>
      </c>
    </row>
    <row r="112" spans="1:2" x14ac:dyDescent="0.35">
      <c r="A112" s="3">
        <v>44729</v>
      </c>
      <c r="B112" s="4">
        <v>858342817.04451692</v>
      </c>
    </row>
    <row r="113" spans="1:2" x14ac:dyDescent="0.35">
      <c r="A113" s="3">
        <v>44732</v>
      </c>
      <c r="B113" s="4">
        <v>859319848.19366026</v>
      </c>
    </row>
    <row r="114" spans="1:2" x14ac:dyDescent="0.35">
      <c r="A114" s="3">
        <v>44733</v>
      </c>
      <c r="B114" s="4">
        <v>861978922.8609513</v>
      </c>
    </row>
    <row r="115" spans="1:2" x14ac:dyDescent="0.35">
      <c r="A115" s="3">
        <v>44734</v>
      </c>
      <c r="B115" s="4">
        <v>859085210.9430958</v>
      </c>
    </row>
    <row r="116" spans="1:2" x14ac:dyDescent="0.35">
      <c r="A116" s="3">
        <v>44735</v>
      </c>
      <c r="B116" s="4">
        <v>860337415.89071</v>
      </c>
    </row>
    <row r="117" spans="1:2" x14ac:dyDescent="0.35">
      <c r="A117" s="3">
        <v>44736</v>
      </c>
      <c r="B117" s="4">
        <v>861848895.03385401</v>
      </c>
    </row>
    <row r="118" spans="1:2" x14ac:dyDescent="0.35">
      <c r="A118" s="3">
        <v>44739</v>
      </c>
      <c r="B118" s="4">
        <v>864064268.26008773</v>
      </c>
    </row>
    <row r="119" spans="1:2" x14ac:dyDescent="0.35">
      <c r="A119" s="3">
        <v>44740</v>
      </c>
      <c r="B119" s="4">
        <v>863850623.50846517</v>
      </c>
    </row>
    <row r="120" spans="1:2" x14ac:dyDescent="0.35">
      <c r="A120" s="3">
        <v>44741</v>
      </c>
      <c r="B120" s="4">
        <v>864179109.79005635</v>
      </c>
    </row>
    <row r="121" spans="1:2" x14ac:dyDescent="0.35">
      <c r="A121" s="3">
        <v>44742</v>
      </c>
      <c r="B121" s="4">
        <v>860319530.00650609</v>
      </c>
    </row>
    <row r="122" spans="1:2" x14ac:dyDescent="0.35">
      <c r="A122" s="3">
        <v>44743</v>
      </c>
      <c r="B122" s="4">
        <v>860319530.00000012</v>
      </c>
    </row>
    <row r="123" spans="1:2" x14ac:dyDescent="0.35">
      <c r="A123" s="3">
        <v>44746</v>
      </c>
      <c r="B123" s="4">
        <v>852436408.84563661</v>
      </c>
    </row>
    <row r="124" spans="1:2" x14ac:dyDescent="0.35">
      <c r="A124" s="3">
        <v>44747</v>
      </c>
      <c r="B124" s="4">
        <v>834271048.35387921</v>
      </c>
    </row>
    <row r="125" spans="1:2" x14ac:dyDescent="0.35">
      <c r="A125" s="3">
        <v>44748</v>
      </c>
      <c r="B125" s="4">
        <v>818677328.52732909</v>
      </c>
    </row>
    <row r="126" spans="1:2" x14ac:dyDescent="0.35">
      <c r="A126" s="3">
        <v>44749</v>
      </c>
      <c r="B126" s="4">
        <v>820469438.9752959</v>
      </c>
    </row>
    <row r="127" spans="1:2" x14ac:dyDescent="0.35">
      <c r="A127" s="15">
        <v>44750</v>
      </c>
      <c r="B127" s="16">
        <v>826502404.38215506</v>
      </c>
    </row>
    <row r="128" spans="1:2" x14ac:dyDescent="0.35">
      <c r="A128" s="3">
        <v>44753</v>
      </c>
      <c r="B128" s="4">
        <v>829458510.37141812</v>
      </c>
    </row>
    <row r="129" spans="1:2" x14ac:dyDescent="0.35">
      <c r="A129" s="3">
        <v>44754</v>
      </c>
      <c r="B129" s="4">
        <v>834409300.86695123</v>
      </c>
    </row>
    <row r="130" spans="1:2" x14ac:dyDescent="0.35">
      <c r="A130" s="3">
        <v>44755</v>
      </c>
      <c r="B130" s="4">
        <v>838528990.86240613</v>
      </c>
    </row>
    <row r="131" spans="1:2" x14ac:dyDescent="0.35">
      <c r="A131" s="3">
        <v>44756</v>
      </c>
      <c r="B131" s="4">
        <v>843089378.19382167</v>
      </c>
    </row>
    <row r="132" spans="1:2" x14ac:dyDescent="0.35">
      <c r="A132" s="15">
        <v>44757</v>
      </c>
      <c r="B132" s="16">
        <v>844736702.21594584</v>
      </c>
    </row>
    <row r="133" spans="1:2" x14ac:dyDescent="0.35">
      <c r="A133" s="3">
        <v>44760</v>
      </c>
      <c r="B133" s="4">
        <v>845174001.82931423</v>
      </c>
    </row>
    <row r="134" spans="1:2" x14ac:dyDescent="0.35">
      <c r="A134" s="3">
        <v>44761</v>
      </c>
      <c r="B134" s="4">
        <v>846970945.35069621</v>
      </c>
    </row>
    <row r="135" spans="1:2" x14ac:dyDescent="0.35">
      <c r="A135" s="3">
        <v>44762</v>
      </c>
      <c r="B135" s="4">
        <v>854201408.1242981</v>
      </c>
    </row>
    <row r="136" spans="1:2" x14ac:dyDescent="0.35">
      <c r="A136" s="3">
        <v>44763</v>
      </c>
      <c r="B136" s="4">
        <v>855139374.30110681</v>
      </c>
    </row>
    <row r="137" spans="1:2" x14ac:dyDescent="0.35">
      <c r="A137" s="3">
        <v>44764</v>
      </c>
      <c r="B137" s="4">
        <v>858714509.07601929</v>
      </c>
    </row>
    <row r="138" spans="1:2" x14ac:dyDescent="0.35">
      <c r="A138" s="3">
        <v>44767</v>
      </c>
      <c r="B138" s="4">
        <v>860885143.85993147</v>
      </c>
    </row>
    <row r="139" spans="1:2" x14ac:dyDescent="0.35">
      <c r="A139" s="3">
        <v>44768</v>
      </c>
      <c r="B139" s="4">
        <v>863142315.19536924</v>
      </c>
    </row>
    <row r="140" spans="1:2" x14ac:dyDescent="0.35">
      <c r="A140" s="3">
        <v>44769</v>
      </c>
      <c r="B140" s="4">
        <v>869695906.73925197</v>
      </c>
    </row>
    <row r="141" spans="1:2" x14ac:dyDescent="0.35">
      <c r="A141" s="3">
        <v>44770</v>
      </c>
      <c r="B141" s="4">
        <v>882789999.14187288</v>
      </c>
    </row>
    <row r="142" spans="1:2" x14ac:dyDescent="0.35">
      <c r="A142" s="3">
        <v>44771</v>
      </c>
      <c r="B142" s="4">
        <v>880807239.55550373</v>
      </c>
    </row>
    <row r="143" spans="1:2" x14ac:dyDescent="0.35">
      <c r="A143" s="3">
        <v>44774</v>
      </c>
      <c r="B143" s="4">
        <v>895453251.90514767</v>
      </c>
    </row>
    <row r="144" spans="1:2" x14ac:dyDescent="0.35">
      <c r="A144" s="3">
        <v>44775</v>
      </c>
      <c r="B144" s="4">
        <v>893509381.9633764</v>
      </c>
    </row>
    <row r="145" spans="1:2" x14ac:dyDescent="0.35">
      <c r="A145" s="3">
        <v>44776</v>
      </c>
      <c r="B145" s="4">
        <v>890169879.33557987</v>
      </c>
    </row>
    <row r="146" spans="1:2" x14ac:dyDescent="0.35">
      <c r="A146" s="3">
        <v>44777</v>
      </c>
      <c r="B146" s="4">
        <v>887788983.92663693</v>
      </c>
    </row>
    <row r="147" spans="1:2" x14ac:dyDescent="0.35">
      <c r="A147" s="3">
        <v>44778</v>
      </c>
      <c r="B147" s="4">
        <v>886269910.32062292</v>
      </c>
    </row>
    <row r="148" spans="1:2" x14ac:dyDescent="0.35">
      <c r="A148" s="3">
        <v>44781</v>
      </c>
      <c r="B148" s="4">
        <v>890307751.36278903</v>
      </c>
    </row>
    <row r="149" spans="1:2" x14ac:dyDescent="0.35">
      <c r="A149" s="3">
        <v>44782</v>
      </c>
      <c r="B149" s="4">
        <v>894385397.01192439</v>
      </c>
    </row>
    <row r="150" spans="1:2" x14ac:dyDescent="0.35">
      <c r="A150" s="3">
        <v>44783</v>
      </c>
      <c r="B150" s="4">
        <v>898006273.91235316</v>
      </c>
    </row>
    <row r="151" spans="1:2" x14ac:dyDescent="0.35">
      <c r="A151" s="3">
        <v>44784</v>
      </c>
      <c r="B151" s="4">
        <v>893242535.3047657</v>
      </c>
    </row>
    <row r="152" spans="1:2" x14ac:dyDescent="0.35">
      <c r="A152" s="3">
        <v>44785</v>
      </c>
      <c r="B152" s="4">
        <v>891684708.12221205</v>
      </c>
    </row>
    <row r="153" spans="1:2" x14ac:dyDescent="0.35">
      <c r="A153" s="3">
        <v>44788</v>
      </c>
      <c r="B153" s="4">
        <v>894706947.81181884</v>
      </c>
    </row>
    <row r="154" spans="1:2" x14ac:dyDescent="0.35">
      <c r="A154" s="3">
        <v>44789</v>
      </c>
      <c r="B154" s="4">
        <v>900061863.85520732</v>
      </c>
    </row>
    <row r="155" spans="1:2" x14ac:dyDescent="0.35">
      <c r="A155" s="3">
        <v>44790</v>
      </c>
      <c r="B155" s="4">
        <v>897418864.2496171</v>
      </c>
    </row>
    <row r="156" spans="1:2" x14ac:dyDescent="0.35">
      <c r="A156" s="3">
        <v>44791</v>
      </c>
      <c r="B156" s="4">
        <v>898690202.91719925</v>
      </c>
    </row>
    <row r="157" spans="1:2" x14ac:dyDescent="0.35">
      <c r="A157" s="3">
        <v>44792</v>
      </c>
      <c r="B157" s="4">
        <v>897515531.17638743</v>
      </c>
    </row>
    <row r="158" spans="1:2" x14ac:dyDescent="0.35">
      <c r="A158" s="3">
        <v>44795</v>
      </c>
      <c r="B158" s="4">
        <v>893444204.54028606</v>
      </c>
    </row>
    <row r="159" spans="1:2" x14ac:dyDescent="0.35">
      <c r="A159" s="3">
        <v>44796</v>
      </c>
      <c r="B159" s="4">
        <v>894183201.21970522</v>
      </c>
    </row>
    <row r="160" spans="1:2" x14ac:dyDescent="0.35">
      <c r="A160" s="3">
        <v>44797</v>
      </c>
      <c r="B160" s="4">
        <v>900869294.59099519</v>
      </c>
    </row>
    <row r="161" spans="1:2" x14ac:dyDescent="0.35">
      <c r="A161" s="3">
        <v>44798</v>
      </c>
      <c r="B161" s="4">
        <v>903152760.38890445</v>
      </c>
    </row>
    <row r="162" spans="1:2" x14ac:dyDescent="0.35">
      <c r="A162" s="3">
        <v>44799</v>
      </c>
      <c r="B162" s="4">
        <v>906046160.98951614</v>
      </c>
    </row>
    <row r="163" spans="1:2" x14ac:dyDescent="0.35">
      <c r="A163" s="3">
        <v>44802</v>
      </c>
      <c r="B163" s="4">
        <v>900135903.44916975</v>
      </c>
    </row>
    <row r="164" spans="1:2" x14ac:dyDescent="0.35">
      <c r="A164" s="3">
        <v>44803</v>
      </c>
      <c r="B164" s="4">
        <v>901254765.10894239</v>
      </c>
    </row>
    <row r="165" spans="1:2" x14ac:dyDescent="0.35">
      <c r="A165" s="3">
        <v>44804</v>
      </c>
      <c r="B165" s="4">
        <v>900115497.05151165</v>
      </c>
    </row>
    <row r="166" spans="1:2" x14ac:dyDescent="0.35">
      <c r="A166" s="3">
        <v>44809</v>
      </c>
      <c r="B166" s="4">
        <v>901630930.64609051</v>
      </c>
    </row>
    <row r="167" spans="1:2" x14ac:dyDescent="0.35">
      <c r="A167" s="3">
        <v>44810</v>
      </c>
      <c r="B167" s="4">
        <v>901725512.84575069</v>
      </c>
    </row>
    <row r="168" spans="1:2" x14ac:dyDescent="0.35">
      <c r="A168" s="3">
        <v>44811</v>
      </c>
      <c r="B168" s="4">
        <v>895712334.93008554</v>
      </c>
    </row>
    <row r="169" spans="1:2" x14ac:dyDescent="0.35">
      <c r="A169" s="3">
        <v>44812</v>
      </c>
      <c r="B169" s="4">
        <v>900309294.46410596</v>
      </c>
    </row>
    <row r="170" spans="1:2" x14ac:dyDescent="0.35">
      <c r="A170" s="3">
        <v>44813</v>
      </c>
      <c r="B170" s="4">
        <v>905745700.49370515</v>
      </c>
    </row>
    <row r="171" spans="1:2" x14ac:dyDescent="0.35">
      <c r="A171" s="3">
        <v>44816</v>
      </c>
      <c r="B171" s="4">
        <v>911934241.55333781</v>
      </c>
    </row>
    <row r="172" spans="1:2" x14ac:dyDescent="0.35">
      <c r="A172" s="3">
        <v>44817</v>
      </c>
      <c r="B172" s="4">
        <v>912356635.79801285</v>
      </c>
    </row>
    <row r="173" spans="1:2" x14ac:dyDescent="0.35">
      <c r="A173" s="3">
        <v>44818</v>
      </c>
      <c r="B173" s="4">
        <v>906299244.17499137</v>
      </c>
    </row>
    <row r="174" spans="1:2" x14ac:dyDescent="0.35">
      <c r="A174" s="3">
        <v>44819</v>
      </c>
      <c r="B174" s="4">
        <v>906268869.27701008</v>
      </c>
    </row>
    <row r="175" spans="1:2" x14ac:dyDescent="0.35">
      <c r="A175" s="3">
        <v>44820</v>
      </c>
      <c r="B175" s="4">
        <v>908324095.21723616</v>
      </c>
    </row>
    <row r="176" spans="1:2" x14ac:dyDescent="0.35">
      <c r="A176" s="3">
        <v>44823</v>
      </c>
      <c r="B176" s="4">
        <v>906149832.81966269</v>
      </c>
    </row>
    <row r="177" spans="1:2" x14ac:dyDescent="0.35">
      <c r="A177" s="3">
        <v>44824</v>
      </c>
      <c r="B177" s="4">
        <v>909039394.56748939</v>
      </c>
    </row>
    <row r="178" spans="1:2" x14ac:dyDescent="0.35">
      <c r="A178" s="3">
        <v>44825</v>
      </c>
      <c r="B178" s="4">
        <v>908463499.94755256</v>
      </c>
    </row>
    <row r="179" spans="1:2" x14ac:dyDescent="0.35">
      <c r="A179" s="3">
        <v>44826</v>
      </c>
      <c r="B179" s="4">
        <v>911831232.47330022</v>
      </c>
    </row>
    <row r="180" spans="1:2" x14ac:dyDescent="0.35">
      <c r="A180" s="3">
        <v>44827</v>
      </c>
      <c r="B180" s="4">
        <v>913672830.84657121</v>
      </c>
    </row>
    <row r="181" spans="1:2" x14ac:dyDescent="0.35">
      <c r="A181" s="3">
        <v>44830</v>
      </c>
      <c r="B181" s="4">
        <v>906143734.52345586</v>
      </c>
    </row>
    <row r="182" spans="1:2" x14ac:dyDescent="0.35">
      <c r="A182" s="3">
        <v>44831</v>
      </c>
      <c r="B182" s="4">
        <v>907240018.22597754</v>
      </c>
    </row>
    <row r="183" spans="1:2" x14ac:dyDescent="0.35">
      <c r="A183" s="3">
        <v>44832</v>
      </c>
      <c r="B183" s="4">
        <v>907158467.34773493</v>
      </c>
    </row>
    <row r="184" spans="1:2" x14ac:dyDescent="0.35">
      <c r="A184" s="3">
        <v>44833</v>
      </c>
      <c r="B184" s="4">
        <v>909286881.64074898</v>
      </c>
    </row>
    <row r="185" spans="1:2" x14ac:dyDescent="0.35">
      <c r="A185" s="3">
        <v>44834</v>
      </c>
      <c r="B185" s="4">
        <v>907941339.58229697</v>
      </c>
    </row>
    <row r="186" spans="1:2" x14ac:dyDescent="0.35">
      <c r="A186" s="3">
        <v>44837</v>
      </c>
      <c r="B186" s="4">
        <v>907941340</v>
      </c>
    </row>
    <row r="187" spans="1:2" x14ac:dyDescent="0.35">
      <c r="A187" s="3">
        <v>44838</v>
      </c>
      <c r="B187" s="4">
        <v>905534824.45613837</v>
      </c>
    </row>
    <row r="188" spans="1:2" x14ac:dyDescent="0.35">
      <c r="A188" s="3">
        <v>44839</v>
      </c>
      <c r="B188" s="4">
        <v>925910612.10713911</v>
      </c>
    </row>
    <row r="189" spans="1:2" x14ac:dyDescent="0.35">
      <c r="A189" s="3">
        <v>44840</v>
      </c>
      <c r="B189" s="4">
        <v>910835114.00008869</v>
      </c>
    </row>
    <row r="190" spans="1:2" x14ac:dyDescent="0.35">
      <c r="A190" s="3">
        <v>44841</v>
      </c>
      <c r="B190" s="4">
        <v>899035725.81767678</v>
      </c>
    </row>
    <row r="191" spans="1:2" x14ac:dyDescent="0.35">
      <c r="A191" s="3">
        <v>44844</v>
      </c>
      <c r="B191" s="4">
        <v>903064043.00058532</v>
      </c>
    </row>
    <row r="192" spans="1:2" x14ac:dyDescent="0.35">
      <c r="A192" s="3">
        <v>44845</v>
      </c>
      <c r="B192" s="4">
        <v>885135501.2247448</v>
      </c>
    </row>
    <row r="193" spans="1:2" x14ac:dyDescent="0.35">
      <c r="A193" s="3">
        <v>44846</v>
      </c>
      <c r="B193" s="4">
        <v>889707815.99911213</v>
      </c>
    </row>
    <row r="194" spans="1:2" x14ac:dyDescent="0.35">
      <c r="A194" s="3">
        <v>44847</v>
      </c>
      <c r="B194" s="4">
        <v>896162155.33414352</v>
      </c>
    </row>
    <row r="195" spans="1:2" x14ac:dyDescent="0.35">
      <c r="A195" s="3">
        <v>44848</v>
      </c>
      <c r="B195" s="4">
        <v>898300355.1784904</v>
      </c>
    </row>
    <row r="196" spans="1:2" x14ac:dyDescent="0.35">
      <c r="A196" s="3">
        <v>44851</v>
      </c>
      <c r="B196" s="4">
        <v>895710969.23190033</v>
      </c>
    </row>
    <row r="197" spans="1:2" x14ac:dyDescent="0.35">
      <c r="A197" s="3">
        <v>44852</v>
      </c>
      <c r="B197" s="4">
        <v>901088222.8131814</v>
      </c>
    </row>
    <row r="198" spans="1:2" x14ac:dyDescent="0.35">
      <c r="A198" s="3">
        <v>44853</v>
      </c>
      <c r="B198" s="4">
        <v>898978603.71553576</v>
      </c>
    </row>
    <row r="199" spans="1:2" x14ac:dyDescent="0.35">
      <c r="A199" s="3">
        <v>44854</v>
      </c>
      <c r="B199" s="4">
        <v>896310225.00369048</v>
      </c>
    </row>
    <row r="200" spans="1:2" x14ac:dyDescent="0.35">
      <c r="A200" s="3">
        <v>44855</v>
      </c>
      <c r="B200" s="4">
        <v>889512240.26906252</v>
      </c>
    </row>
    <row r="201" spans="1:2" x14ac:dyDescent="0.35">
      <c r="A201" s="3">
        <v>44858</v>
      </c>
      <c r="B201" s="4">
        <v>875297267.40812433</v>
      </c>
    </row>
    <row r="202" spans="1:2" x14ac:dyDescent="0.35">
      <c r="A202" s="3">
        <v>44859</v>
      </c>
      <c r="B202" s="4">
        <v>890175850.78985572</v>
      </c>
    </row>
    <row r="203" spans="1:2" x14ac:dyDescent="0.35">
      <c r="A203" s="3">
        <v>44860</v>
      </c>
      <c r="B203" s="4">
        <v>889824568.52788234</v>
      </c>
    </row>
    <row r="204" spans="1:2" x14ac:dyDescent="0.35">
      <c r="A204" s="3">
        <v>44861</v>
      </c>
      <c r="B204" s="4">
        <v>896394109.75663602</v>
      </c>
    </row>
    <row r="205" spans="1:2" x14ac:dyDescent="0.35">
      <c r="A205" s="3">
        <v>44862</v>
      </c>
      <c r="B205" s="4">
        <v>897608885.21617496</v>
      </c>
    </row>
    <row r="206" spans="1:2" x14ac:dyDescent="0.35">
      <c r="A206" s="3">
        <v>44865</v>
      </c>
      <c r="B206" s="4">
        <v>892875426.93905425</v>
      </c>
    </row>
    <row r="207" spans="1:2" x14ac:dyDescent="0.35">
      <c r="A207" s="3">
        <v>44866</v>
      </c>
      <c r="B207" s="4">
        <v>896278339.72530043</v>
      </c>
    </row>
    <row r="208" spans="1:2" x14ac:dyDescent="0.35">
      <c r="A208" s="3">
        <v>44867</v>
      </c>
      <c r="B208" s="4">
        <v>892739866.0999887</v>
      </c>
    </row>
    <row r="209" spans="1:2" x14ac:dyDescent="0.35">
      <c r="A209" s="3">
        <v>44868</v>
      </c>
      <c r="B209" s="4">
        <v>883805746.59823632</v>
      </c>
    </row>
    <row r="210" spans="1:2" x14ac:dyDescent="0.35">
      <c r="A210" s="3">
        <v>44869</v>
      </c>
      <c r="B210" s="4">
        <v>877854471.91460419</v>
      </c>
    </row>
    <row r="211" spans="1:2" x14ac:dyDescent="0.35">
      <c r="A211" s="3">
        <v>44872</v>
      </c>
      <c r="B211" s="4">
        <v>868775890.66544843</v>
      </c>
    </row>
    <row r="212" spans="1:2" x14ac:dyDescent="0.35">
      <c r="A212" s="3">
        <v>44873</v>
      </c>
      <c r="B212" s="4">
        <v>869050266.093714</v>
      </c>
    </row>
    <row r="213" spans="1:2" x14ac:dyDescent="0.35">
      <c r="A213" s="3">
        <v>44874</v>
      </c>
      <c r="B213" s="4">
        <v>868679474.16753614</v>
      </c>
    </row>
    <row r="214" spans="1:2" x14ac:dyDescent="0.35">
      <c r="A214" s="3">
        <v>44875</v>
      </c>
      <c r="B214" s="4">
        <v>857935770.40516937</v>
      </c>
    </row>
    <row r="215" spans="1:2" x14ac:dyDescent="0.35">
      <c r="A215" s="3">
        <v>44876</v>
      </c>
      <c r="B215" s="4">
        <v>861235494.70036948</v>
      </c>
    </row>
    <row r="216" spans="1:2" x14ac:dyDescent="0.35">
      <c r="A216" s="3">
        <v>44879</v>
      </c>
      <c r="B216" s="4">
        <v>862232277.92720747</v>
      </c>
    </row>
    <row r="217" spans="1:2" x14ac:dyDescent="0.35">
      <c r="A217" s="3">
        <v>44880</v>
      </c>
      <c r="B217" s="4">
        <v>851984126.8855828</v>
      </c>
    </row>
    <row r="218" spans="1:2" x14ac:dyDescent="0.35">
      <c r="A218" s="3">
        <v>44881</v>
      </c>
      <c r="B218" s="4">
        <v>845843379.68261445</v>
      </c>
    </row>
    <row r="219" spans="1:2" x14ac:dyDescent="0.35">
      <c r="A219" s="3">
        <v>44882</v>
      </c>
      <c r="B219" s="4">
        <v>857089136.14924431</v>
      </c>
    </row>
    <row r="220" spans="1:2" x14ac:dyDescent="0.35">
      <c r="A220" s="3">
        <v>44883</v>
      </c>
      <c r="B220" s="4">
        <v>856679203.55849051</v>
      </c>
    </row>
    <row r="221" spans="1:2" x14ac:dyDescent="0.35">
      <c r="A221" s="3">
        <v>44886</v>
      </c>
      <c r="B221" s="4">
        <v>857528367.86850095</v>
      </c>
    </row>
    <row r="222" spans="1:2" x14ac:dyDescent="0.35">
      <c r="A222" s="3">
        <v>44887</v>
      </c>
      <c r="B222" s="4">
        <v>849472700.16633368</v>
      </c>
    </row>
    <row r="223" spans="1:2" x14ac:dyDescent="0.35">
      <c r="A223" s="3">
        <v>44888</v>
      </c>
      <c r="B223" s="4">
        <v>854550285.4028132</v>
      </c>
    </row>
    <row r="224" spans="1:2" x14ac:dyDescent="0.35">
      <c r="A224" s="3">
        <v>44889</v>
      </c>
      <c r="B224" s="4">
        <v>856882920.27536309</v>
      </c>
    </row>
    <row r="225" spans="1:2" x14ac:dyDescent="0.35">
      <c r="A225" s="3">
        <v>44890</v>
      </c>
      <c r="B225" s="4">
        <v>861921660.10998011</v>
      </c>
    </row>
    <row r="226" spans="1:2" x14ac:dyDescent="0.35">
      <c r="A226" s="3">
        <v>44893</v>
      </c>
      <c r="B226" s="4">
        <v>865969009.59072828</v>
      </c>
    </row>
    <row r="227" spans="1:2" x14ac:dyDescent="0.35">
      <c r="A227" s="3">
        <v>44894</v>
      </c>
      <c r="B227" s="4">
        <v>868097208.64585125</v>
      </c>
    </row>
    <row r="228" spans="1:2" x14ac:dyDescent="0.35">
      <c r="A228" s="3">
        <v>44895</v>
      </c>
      <c r="B228" s="4">
        <v>871999035.37567806</v>
      </c>
    </row>
    <row r="229" spans="1:2" x14ac:dyDescent="0.35">
      <c r="A229" s="3">
        <v>44896</v>
      </c>
      <c r="B229" s="4">
        <v>866297172.47490835</v>
      </c>
    </row>
    <row r="230" spans="1:2" x14ac:dyDescent="0.35">
      <c r="A230" s="3">
        <v>44897</v>
      </c>
      <c r="B230" s="4">
        <v>867068813.76311564</v>
      </c>
    </row>
    <row r="231" spans="1:2" x14ac:dyDescent="0.35">
      <c r="A231" s="3">
        <v>44900</v>
      </c>
      <c r="B231" s="4">
        <v>869568729.67747581</v>
      </c>
    </row>
    <row r="232" spans="1:2" x14ac:dyDescent="0.35">
      <c r="A232" s="3">
        <v>44901</v>
      </c>
      <c r="B232" s="4">
        <v>865656231.05673635</v>
      </c>
    </row>
    <row r="233" spans="1:2" x14ac:dyDescent="0.35">
      <c r="A233" s="3">
        <v>44902</v>
      </c>
      <c r="B233" s="4">
        <v>864696229.89558017</v>
      </c>
    </row>
    <row r="234" spans="1:2" x14ac:dyDescent="0.35">
      <c r="A234" s="3">
        <v>44903</v>
      </c>
      <c r="B234" s="4">
        <v>863105906.16490471</v>
      </c>
    </row>
    <row r="235" spans="1:2" x14ac:dyDescent="0.35">
      <c r="A235" s="3">
        <v>44904</v>
      </c>
      <c r="B235" s="4">
        <v>864820867.30462933</v>
      </c>
    </row>
    <row r="236" spans="1:2" x14ac:dyDescent="0.35">
      <c r="A236" s="3">
        <v>44907</v>
      </c>
      <c r="B236" s="4">
        <v>863919367.29440987</v>
      </c>
    </row>
    <row r="237" spans="1:2" x14ac:dyDescent="0.35">
      <c r="A237" s="3">
        <v>44908</v>
      </c>
      <c r="B237" s="4">
        <v>864063465.50376117</v>
      </c>
    </row>
    <row r="238" spans="1:2" x14ac:dyDescent="0.35">
      <c r="A238" s="3">
        <v>44909</v>
      </c>
      <c r="B238" s="4">
        <v>865495721.60219669</v>
      </c>
    </row>
    <row r="239" spans="1:2" x14ac:dyDescent="0.35">
      <c r="A239" s="3">
        <v>44910</v>
      </c>
      <c r="B239" s="4">
        <v>867716082.58980966</v>
      </c>
    </row>
    <row r="240" spans="1:2" x14ac:dyDescent="0.35">
      <c r="A240" s="3">
        <v>44911</v>
      </c>
      <c r="B240" s="4">
        <v>865334315.87525117</v>
      </c>
    </row>
    <row r="241" spans="1:2" x14ac:dyDescent="0.35">
      <c r="A241" s="3">
        <v>44914</v>
      </c>
      <c r="B241" s="4">
        <v>863219042.32732081</v>
      </c>
    </row>
    <row r="242" spans="1:2" x14ac:dyDescent="0.35">
      <c r="A242" s="3">
        <v>44915</v>
      </c>
      <c r="B242" s="4">
        <v>861347958.04789138</v>
      </c>
    </row>
    <row r="243" spans="1:2" x14ac:dyDescent="0.35">
      <c r="A243" s="3">
        <v>44916</v>
      </c>
      <c r="B243" s="4">
        <v>862669899.79945755</v>
      </c>
    </row>
    <row r="244" spans="1:2" x14ac:dyDescent="0.35">
      <c r="A244" s="3">
        <v>44917</v>
      </c>
      <c r="B244" s="4">
        <v>862019927.54509485</v>
      </c>
    </row>
    <row r="245" spans="1:2" x14ac:dyDescent="0.35">
      <c r="A245" s="3">
        <v>44918</v>
      </c>
      <c r="B245" s="4">
        <v>862847741.82005751</v>
      </c>
    </row>
    <row r="246" spans="1:2" x14ac:dyDescent="0.35">
      <c r="A246" s="3">
        <v>44921</v>
      </c>
      <c r="B246" s="4">
        <v>859451184.67300093</v>
      </c>
    </row>
    <row r="247" spans="1:2" x14ac:dyDescent="0.35">
      <c r="A247" s="3">
        <v>44922</v>
      </c>
      <c r="B247" s="4">
        <v>860655906.04133594</v>
      </c>
    </row>
    <row r="248" spans="1:2" x14ac:dyDescent="0.35">
      <c r="A248" s="3">
        <v>44923</v>
      </c>
      <c r="B248" s="4">
        <v>866344437.89179552</v>
      </c>
    </row>
    <row r="249" spans="1:2" x14ac:dyDescent="0.35">
      <c r="A249" s="3">
        <v>44924</v>
      </c>
      <c r="B249" s="4">
        <v>865911990.96840024</v>
      </c>
    </row>
    <row r="250" spans="1:2" x14ac:dyDescent="0.35">
      <c r="A250" s="3">
        <v>44925</v>
      </c>
      <c r="B250" s="4">
        <v>860856457.3489871</v>
      </c>
    </row>
  </sheetData>
  <conditionalFormatting sqref="B2:B59">
    <cfRule type="top10" dxfId="16" priority="22" bottom="1" rank="1"/>
    <cfRule type="top10" dxfId="15" priority="23" rank="1"/>
  </conditionalFormatting>
  <conditionalFormatting sqref="B60:B121">
    <cfRule type="top10" dxfId="14" priority="5" bottom="1" rank="1"/>
    <cfRule type="top10" dxfId="13" priority="6" rank="1"/>
  </conditionalFormatting>
  <conditionalFormatting sqref="B122:B184">
    <cfRule type="top10" dxfId="12" priority="3" bottom="1" rank="1"/>
    <cfRule type="top10" dxfId="11" priority="4" rank="1"/>
  </conditionalFormatting>
  <conditionalFormatting sqref="B185:B249">
    <cfRule type="top10" dxfId="10" priority="1" bottom="1" rank="1"/>
  </conditionalFormatting>
  <conditionalFormatting sqref="B251 B185:B249">
    <cfRule type="top10" dxfId="9" priority="24" rank="1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48" workbookViewId="0">
      <selection activeCell="K57" sqref="K57"/>
    </sheetView>
  </sheetViews>
  <sheetFormatPr defaultRowHeight="14.5" x14ac:dyDescent="0.35"/>
  <cols>
    <col min="1" max="1" width="11" customWidth="1"/>
    <col min="2" max="2" width="11" style="11" customWidth="1"/>
    <col min="3" max="5" width="11" customWidth="1"/>
    <col min="6" max="7" width="11" style="11" customWidth="1"/>
    <col min="8" max="8" width="11" customWidth="1"/>
  </cols>
  <sheetData>
    <row r="1" spans="1:8" x14ac:dyDescent="0.35">
      <c r="A1" s="6" t="s">
        <v>8</v>
      </c>
      <c r="B1" s="7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7" t="s">
        <v>14</v>
      </c>
      <c r="H1" s="1" t="s">
        <v>15</v>
      </c>
    </row>
    <row r="2" spans="1:8" x14ac:dyDescent="0.35">
      <c r="A2" s="28" t="s">
        <v>56</v>
      </c>
      <c r="B2" s="28"/>
      <c r="C2" s="28"/>
      <c r="D2" s="28"/>
      <c r="E2" s="28"/>
      <c r="F2" s="28"/>
      <c r="G2" s="28"/>
      <c r="H2" s="28"/>
    </row>
    <row r="3" spans="1:8" x14ac:dyDescent="0.35">
      <c r="A3" t="s">
        <v>35</v>
      </c>
      <c r="B3" s="25">
        <v>0.13869999999999999</v>
      </c>
      <c r="C3">
        <v>0.18</v>
      </c>
      <c r="D3" t="s">
        <v>33</v>
      </c>
      <c r="E3" t="s">
        <v>36</v>
      </c>
      <c r="F3" s="25">
        <v>2.1786492374728699E-3</v>
      </c>
      <c r="G3" s="25">
        <v>2.1786492374728699E-3</v>
      </c>
      <c r="H3" t="s">
        <v>18</v>
      </c>
    </row>
    <row r="4" spans="1:8" x14ac:dyDescent="0.35">
      <c r="A4" t="s">
        <v>53</v>
      </c>
      <c r="B4" s="25">
        <v>9.5699999999999993E-2</v>
      </c>
      <c r="C4">
        <v>0.98</v>
      </c>
      <c r="D4" t="s">
        <v>33</v>
      </c>
      <c r="E4" t="s">
        <v>36</v>
      </c>
      <c r="F4" s="25">
        <v>5.8620982204240071E-2</v>
      </c>
      <c r="G4" s="25">
        <v>9.6551724137931047E-2</v>
      </c>
      <c r="H4" t="s">
        <v>18</v>
      </c>
    </row>
    <row r="5" spans="1:8" x14ac:dyDescent="0.35">
      <c r="A5" t="s">
        <v>42</v>
      </c>
      <c r="B5" s="25">
        <v>8.9899999999999994E-2</v>
      </c>
      <c r="C5">
        <v>0.71</v>
      </c>
      <c r="D5" t="s">
        <v>33</v>
      </c>
      <c r="E5" t="s">
        <v>43</v>
      </c>
      <c r="F5" s="25">
        <v>-0.16163764838892031</v>
      </c>
      <c r="G5" s="25">
        <v>9.6983041266252179E-2</v>
      </c>
      <c r="H5" t="s">
        <v>16</v>
      </c>
    </row>
    <row r="6" spans="1:8" x14ac:dyDescent="0.35">
      <c r="A6" t="s">
        <v>51</v>
      </c>
      <c r="B6" s="25">
        <v>8.48E-2</v>
      </c>
      <c r="C6">
        <v>0.85</v>
      </c>
      <c r="D6" t="s">
        <v>33</v>
      </c>
      <c r="E6" t="s">
        <v>52</v>
      </c>
      <c r="F6" s="25">
        <v>-0.18279569892473119</v>
      </c>
      <c r="G6" s="25">
        <v>0</v>
      </c>
      <c r="H6" t="s">
        <v>16</v>
      </c>
    </row>
    <row r="7" spans="1:8" x14ac:dyDescent="0.35">
      <c r="A7" t="s">
        <v>45</v>
      </c>
      <c r="B7" s="25">
        <v>7.9399999999999998E-2</v>
      </c>
      <c r="C7">
        <v>0.48</v>
      </c>
      <c r="D7" t="s">
        <v>33</v>
      </c>
      <c r="E7" t="s">
        <v>36</v>
      </c>
      <c r="F7" s="25">
        <v>0.1460764587525151</v>
      </c>
      <c r="G7" s="25">
        <v>0.1975855130784708</v>
      </c>
      <c r="H7" t="s">
        <v>18</v>
      </c>
    </row>
    <row r="8" spans="1:8" x14ac:dyDescent="0.35">
      <c r="A8" t="s">
        <v>32</v>
      </c>
      <c r="B8" s="25">
        <v>6.7799999999999999E-2</v>
      </c>
      <c r="C8">
        <v>0.53</v>
      </c>
      <c r="D8" t="s">
        <v>33</v>
      </c>
      <c r="E8" t="s">
        <v>34</v>
      </c>
      <c r="F8" s="25">
        <v>-0.1871508379888269</v>
      </c>
      <c r="G8" s="25">
        <v>5.5865921787709247E-3</v>
      </c>
      <c r="H8" t="s">
        <v>16</v>
      </c>
    </row>
    <row r="9" spans="1:8" x14ac:dyDescent="0.35">
      <c r="A9" t="s">
        <v>24</v>
      </c>
      <c r="B9" s="25">
        <v>6.5199999999999994E-2</v>
      </c>
      <c r="C9">
        <v>0.28000000000000003</v>
      </c>
      <c r="D9" t="s">
        <v>33</v>
      </c>
      <c r="E9" t="s">
        <v>36</v>
      </c>
      <c r="F9" s="25">
        <v>-2.9668411867364668E-2</v>
      </c>
      <c r="G9" s="25">
        <v>7.3298429319371805E-2</v>
      </c>
      <c r="H9" t="s">
        <v>18</v>
      </c>
    </row>
    <row r="10" spans="1:8" x14ac:dyDescent="0.35">
      <c r="A10" t="s">
        <v>37</v>
      </c>
      <c r="B10" s="25">
        <v>6.2399999999999997E-2</v>
      </c>
      <c r="C10">
        <v>0.56999999999999995</v>
      </c>
      <c r="D10" t="s">
        <v>33</v>
      </c>
      <c r="E10" t="s">
        <v>38</v>
      </c>
      <c r="F10" s="25">
        <v>0.28033472803347281</v>
      </c>
      <c r="G10" s="25">
        <v>0.28033472803347281</v>
      </c>
      <c r="H10" t="s">
        <v>17</v>
      </c>
    </row>
    <row r="11" spans="1:8" x14ac:dyDescent="0.35">
      <c r="A11" t="s">
        <v>46</v>
      </c>
      <c r="B11" s="25">
        <v>6.1100000000000002E-2</v>
      </c>
      <c r="C11">
        <v>0.79</v>
      </c>
      <c r="D11" t="s">
        <v>33</v>
      </c>
      <c r="E11" t="s">
        <v>43</v>
      </c>
      <c r="F11" s="25">
        <v>-0.19642857142857151</v>
      </c>
      <c r="G11" s="25">
        <v>0.16964285714285701</v>
      </c>
      <c r="H11" t="s">
        <v>16</v>
      </c>
    </row>
    <row r="12" spans="1:8" x14ac:dyDescent="0.35">
      <c r="A12" t="s">
        <v>41</v>
      </c>
      <c r="B12" s="25">
        <v>5.96E-2</v>
      </c>
      <c r="C12">
        <v>0.39</v>
      </c>
      <c r="D12" t="s">
        <v>33</v>
      </c>
      <c r="E12" t="s">
        <v>36</v>
      </c>
      <c r="F12" s="25">
        <v>9.4202898550724626E-2</v>
      </c>
      <c r="G12" s="25">
        <v>9.4202898550724626E-2</v>
      </c>
      <c r="H12" t="s">
        <v>18</v>
      </c>
    </row>
    <row r="13" spans="1:8" x14ac:dyDescent="0.35">
      <c r="A13" t="s">
        <v>47</v>
      </c>
      <c r="B13" s="25">
        <v>5.6899999999999999E-2</v>
      </c>
      <c r="C13">
        <v>0.55000000000000004</v>
      </c>
      <c r="D13" t="s">
        <v>33</v>
      </c>
      <c r="E13" t="s">
        <v>48</v>
      </c>
      <c r="F13" s="25">
        <v>-0.15265734189926861</v>
      </c>
      <c r="G13" s="25">
        <v>6.3573883161511968E-2</v>
      </c>
      <c r="H13" t="s">
        <v>16</v>
      </c>
    </row>
    <row r="14" spans="1:8" x14ac:dyDescent="0.35">
      <c r="A14" t="s">
        <v>49</v>
      </c>
      <c r="B14" s="25">
        <v>4.8599999999999997E-2</v>
      </c>
      <c r="C14">
        <v>0.97</v>
      </c>
      <c r="D14" t="s">
        <v>33</v>
      </c>
      <c r="E14" t="s">
        <v>50</v>
      </c>
      <c r="F14" s="25">
        <v>-0.1652021089630932</v>
      </c>
      <c r="G14" s="25">
        <v>3.6906854130052701E-2</v>
      </c>
      <c r="H14" t="s">
        <v>16</v>
      </c>
    </row>
    <row r="15" spans="1:8" x14ac:dyDescent="0.35">
      <c r="A15" t="s">
        <v>44</v>
      </c>
      <c r="B15" s="25">
        <v>4.8099999999999997E-2</v>
      </c>
      <c r="C15">
        <v>0.68</v>
      </c>
      <c r="D15" t="s">
        <v>33</v>
      </c>
      <c r="E15" t="s">
        <v>36</v>
      </c>
      <c r="F15" s="25">
        <v>0.1206657420249652</v>
      </c>
      <c r="G15" s="25">
        <v>0.1733703190013868</v>
      </c>
      <c r="H15" t="s">
        <v>18</v>
      </c>
    </row>
    <row r="16" spans="1:8" x14ac:dyDescent="0.35">
      <c r="A16" t="s">
        <v>39</v>
      </c>
      <c r="B16" s="25">
        <v>4.1799999999999997E-2</v>
      </c>
      <c r="C16">
        <v>0.97</v>
      </c>
      <c r="D16" t="s">
        <v>33</v>
      </c>
      <c r="E16" t="s">
        <v>40</v>
      </c>
      <c r="F16" s="25">
        <v>0.25000000000000011</v>
      </c>
      <c r="G16" s="25">
        <v>0.25000000000000011</v>
      </c>
      <c r="H16" t="s">
        <v>17</v>
      </c>
    </row>
    <row r="17" spans="1:8" x14ac:dyDescent="0.35">
      <c r="A17" s="28" t="s">
        <v>55</v>
      </c>
      <c r="B17" s="28"/>
      <c r="C17" s="28"/>
      <c r="D17" s="28"/>
      <c r="E17" s="28"/>
      <c r="F17" s="28"/>
      <c r="G17" s="28"/>
      <c r="H17" s="28"/>
    </row>
    <row r="18" spans="1:8" s="17" customFormat="1" x14ac:dyDescent="0.35">
      <c r="A18" t="s">
        <v>26</v>
      </c>
      <c r="B18" s="25">
        <v>8.9899999999999994E-2</v>
      </c>
      <c r="C18">
        <v>0.25</v>
      </c>
      <c r="D18" s="3" t="s">
        <v>57</v>
      </c>
      <c r="E18" s="3" t="s">
        <v>59</v>
      </c>
      <c r="F18" s="25">
        <v>-0.12103209788969679</v>
      </c>
      <c r="G18" s="25">
        <v>0</v>
      </c>
      <c r="H18" t="s">
        <v>18</v>
      </c>
    </row>
    <row r="19" spans="1:8" x14ac:dyDescent="0.35">
      <c r="A19" s="17" t="s">
        <v>91</v>
      </c>
      <c r="B19" s="18">
        <v>8.3900000000000002E-2</v>
      </c>
      <c r="C19" s="17">
        <v>0.94</v>
      </c>
      <c r="D19" s="19" t="s">
        <v>57</v>
      </c>
      <c r="E19" s="19" t="s">
        <v>92</v>
      </c>
      <c r="F19" s="18">
        <v>-0.1918528252299605</v>
      </c>
      <c r="G19" s="18">
        <v>0.11563731931668859</v>
      </c>
      <c r="H19" s="17" t="s">
        <v>16</v>
      </c>
    </row>
    <row r="20" spans="1:8" x14ac:dyDescent="0.35">
      <c r="A20" t="s">
        <v>94</v>
      </c>
      <c r="B20" s="25">
        <v>8.1699999999999995E-2</v>
      </c>
      <c r="C20">
        <v>0.48</v>
      </c>
      <c r="D20" s="3" t="s">
        <v>57</v>
      </c>
      <c r="E20" s="3" t="s">
        <v>95</v>
      </c>
      <c r="F20" s="25">
        <v>-0.1512287334593572</v>
      </c>
      <c r="G20" s="25">
        <v>1.8903591682419331E-3</v>
      </c>
      <c r="H20" t="s">
        <v>16</v>
      </c>
    </row>
    <row r="21" spans="1:8" x14ac:dyDescent="0.35">
      <c r="A21" s="17" t="s">
        <v>93</v>
      </c>
      <c r="B21" s="18">
        <v>8.1600000000000006E-2</v>
      </c>
      <c r="C21" s="17">
        <v>0.36</v>
      </c>
      <c r="D21" s="19" t="s">
        <v>57</v>
      </c>
      <c r="E21" s="19" t="s">
        <v>64</v>
      </c>
      <c r="F21" s="18">
        <v>-0.20805369127516779</v>
      </c>
      <c r="G21" s="18">
        <v>0.1090604026845637</v>
      </c>
      <c r="H21" s="17" t="s">
        <v>16</v>
      </c>
    </row>
    <row r="22" spans="1:8" x14ac:dyDescent="0.35">
      <c r="A22" s="17" t="s">
        <v>35</v>
      </c>
      <c r="B22" s="18">
        <v>6.9400000000000003E-2</v>
      </c>
      <c r="C22" s="17">
        <v>0.18</v>
      </c>
      <c r="D22" s="19" t="s">
        <v>33</v>
      </c>
      <c r="E22" s="19" t="s">
        <v>59</v>
      </c>
      <c r="F22" s="18">
        <v>8.6854089820746869E-2</v>
      </c>
      <c r="G22" s="18">
        <v>0.17010248818999571</v>
      </c>
      <c r="H22" s="17" t="s">
        <v>18</v>
      </c>
    </row>
    <row r="23" spans="1:8" x14ac:dyDescent="0.35">
      <c r="A23" t="s">
        <v>27</v>
      </c>
      <c r="B23" s="25">
        <v>6.6900000000000001E-2</v>
      </c>
      <c r="C23">
        <v>0.8</v>
      </c>
      <c r="D23" s="3" t="s">
        <v>57</v>
      </c>
      <c r="E23" s="3" t="s">
        <v>64</v>
      </c>
      <c r="F23" s="25">
        <v>-0.15315315315315309</v>
      </c>
      <c r="G23" s="25">
        <v>5.0450450450450539E-2</v>
      </c>
      <c r="H23" t="s">
        <v>16</v>
      </c>
    </row>
    <row r="24" spans="1:8" x14ac:dyDescent="0.35">
      <c r="A24" t="s">
        <v>75</v>
      </c>
      <c r="B24" s="25">
        <v>5.8900000000000001E-2</v>
      </c>
      <c r="C24">
        <v>0.45</v>
      </c>
      <c r="D24" s="3" t="s">
        <v>57</v>
      </c>
      <c r="E24" s="3" t="s">
        <v>59</v>
      </c>
      <c r="F24" s="25">
        <v>4.7846889952152111E-3</v>
      </c>
      <c r="G24" s="25">
        <v>2.0733652312599611E-2</v>
      </c>
      <c r="H24" t="s">
        <v>18</v>
      </c>
    </row>
    <row r="25" spans="1:8" x14ac:dyDescent="0.35">
      <c r="A25" s="17" t="s">
        <v>72</v>
      </c>
      <c r="B25" s="18">
        <v>5.4100000000000002E-2</v>
      </c>
      <c r="C25" s="17">
        <v>0.32</v>
      </c>
      <c r="D25" s="19" t="s">
        <v>57</v>
      </c>
      <c r="E25" s="19" t="s">
        <v>60</v>
      </c>
      <c r="F25" s="18">
        <v>-0.1956140350877193</v>
      </c>
      <c r="G25" s="18">
        <v>0.1175438596491228</v>
      </c>
      <c r="H25" s="17" t="s">
        <v>16</v>
      </c>
    </row>
    <row r="26" spans="1:8" x14ac:dyDescent="0.35">
      <c r="A26" t="s">
        <v>90</v>
      </c>
      <c r="B26" s="25">
        <v>4.8899999999999999E-2</v>
      </c>
      <c r="C26">
        <v>1.24</v>
      </c>
      <c r="D26" s="3" t="s">
        <v>57</v>
      </c>
      <c r="E26" s="3" t="s">
        <v>62</v>
      </c>
      <c r="F26" s="25">
        <v>-0.157258064516129</v>
      </c>
      <c r="G26" s="25">
        <v>0</v>
      </c>
      <c r="H26" t="s">
        <v>16</v>
      </c>
    </row>
    <row r="27" spans="1:8" s="17" customFormat="1" x14ac:dyDescent="0.35">
      <c r="A27" t="s">
        <v>98</v>
      </c>
      <c r="B27" s="25">
        <v>4.8500000000000001E-2</v>
      </c>
      <c r="C27">
        <v>0.74</v>
      </c>
      <c r="D27" s="3" t="s">
        <v>57</v>
      </c>
      <c r="E27" s="3" t="s">
        <v>59</v>
      </c>
      <c r="F27" s="25">
        <v>-8.7452471482889732E-2</v>
      </c>
      <c r="G27" s="25">
        <v>3.8022813688212932E-3</v>
      </c>
      <c r="H27" t="s">
        <v>18</v>
      </c>
    </row>
    <row r="28" spans="1:8" s="17" customFormat="1" x14ac:dyDescent="0.35">
      <c r="A28" t="s">
        <v>96</v>
      </c>
      <c r="B28" s="25">
        <v>4.8399999999999999E-2</v>
      </c>
      <c r="C28">
        <v>0.73</v>
      </c>
      <c r="D28" s="3" t="s">
        <v>57</v>
      </c>
      <c r="E28" s="3" t="s">
        <v>97</v>
      </c>
      <c r="F28" s="25">
        <v>-0.19133173892375499</v>
      </c>
      <c r="G28" s="25">
        <v>0</v>
      </c>
      <c r="H28" t="s">
        <v>16</v>
      </c>
    </row>
    <row r="29" spans="1:8" s="17" customFormat="1" x14ac:dyDescent="0.35">
      <c r="A29" t="s">
        <v>86</v>
      </c>
      <c r="B29" s="25">
        <v>4.4699999999999997E-2</v>
      </c>
      <c r="C29">
        <v>0.61</v>
      </c>
      <c r="D29" s="3" t="s">
        <v>57</v>
      </c>
      <c r="E29" s="3" t="s">
        <v>65</v>
      </c>
      <c r="F29" s="25">
        <v>-0.1693877551020409</v>
      </c>
      <c r="G29" s="25">
        <v>0</v>
      </c>
      <c r="H29" t="s">
        <v>16</v>
      </c>
    </row>
    <row r="30" spans="1:8" s="17" customFormat="1" x14ac:dyDescent="0.35">
      <c r="A30" t="s">
        <v>39</v>
      </c>
      <c r="B30" s="25">
        <v>4.4600000000000001E-2</v>
      </c>
      <c r="C30">
        <v>0.89</v>
      </c>
      <c r="D30" s="3" t="s">
        <v>57</v>
      </c>
      <c r="E30" s="3" t="s">
        <v>63</v>
      </c>
      <c r="F30" s="25">
        <v>-0.2</v>
      </c>
      <c r="G30" s="25">
        <v>0</v>
      </c>
      <c r="H30" t="s">
        <v>16</v>
      </c>
    </row>
    <row r="31" spans="1:8" x14ac:dyDescent="0.35">
      <c r="A31" t="s">
        <v>25</v>
      </c>
      <c r="B31" s="25">
        <v>4.4499999999999998E-2</v>
      </c>
      <c r="C31">
        <v>0.78</v>
      </c>
      <c r="D31" s="3" t="s">
        <v>57</v>
      </c>
      <c r="E31" s="3" t="s">
        <v>58</v>
      </c>
      <c r="F31" s="25">
        <v>-0.15024630541871911</v>
      </c>
      <c r="G31" s="25">
        <v>3.0788177339901478E-2</v>
      </c>
      <c r="H31" t="s">
        <v>16</v>
      </c>
    </row>
    <row r="32" spans="1:8" x14ac:dyDescent="0.35">
      <c r="A32" t="s">
        <v>89</v>
      </c>
      <c r="B32" s="25">
        <v>4.1500000000000002E-2</v>
      </c>
      <c r="C32">
        <v>0.19</v>
      </c>
      <c r="D32" s="3" t="s">
        <v>57</v>
      </c>
      <c r="E32" s="3" t="s">
        <v>60</v>
      </c>
      <c r="F32" s="25">
        <v>-0.1839378238341968</v>
      </c>
      <c r="G32" s="25">
        <v>0.1036269430051814</v>
      </c>
      <c r="H32" t="s">
        <v>16</v>
      </c>
    </row>
    <row r="33" spans="1:8" x14ac:dyDescent="0.35">
      <c r="A33" t="s">
        <v>87</v>
      </c>
      <c r="B33" s="25">
        <v>4.07E-2</v>
      </c>
      <c r="C33">
        <v>0.31</v>
      </c>
      <c r="D33" s="3" t="s">
        <v>57</v>
      </c>
      <c r="E33" s="3" t="s">
        <v>88</v>
      </c>
      <c r="F33" s="25">
        <v>-0.16810344827586199</v>
      </c>
      <c r="G33" s="25">
        <v>0</v>
      </c>
      <c r="H33" t="s">
        <v>16</v>
      </c>
    </row>
    <row r="34" spans="1:8" x14ac:dyDescent="0.35">
      <c r="A34" t="s">
        <v>53</v>
      </c>
      <c r="B34" s="25">
        <v>2.81E-2</v>
      </c>
      <c r="C34">
        <v>0.94</v>
      </c>
      <c r="D34" s="3" t="s">
        <v>33</v>
      </c>
      <c r="E34" s="3" t="s">
        <v>66</v>
      </c>
      <c r="F34" s="25">
        <v>0.26206896551724118</v>
      </c>
      <c r="G34" s="25">
        <v>0.26206896551724118</v>
      </c>
      <c r="H34" t="s">
        <v>17</v>
      </c>
    </row>
    <row r="35" spans="1:8" x14ac:dyDescent="0.35">
      <c r="A35" t="s">
        <v>41</v>
      </c>
      <c r="B35" s="25">
        <v>2.3699999999999999E-2</v>
      </c>
      <c r="C35">
        <v>0.35</v>
      </c>
      <c r="D35" s="3" t="s">
        <v>33</v>
      </c>
      <c r="E35" s="3" t="s">
        <v>59</v>
      </c>
      <c r="F35" s="25">
        <v>0.13768115942028991</v>
      </c>
      <c r="G35" s="25">
        <v>0.17391304347826089</v>
      </c>
      <c r="H35" t="s">
        <v>18</v>
      </c>
    </row>
    <row r="36" spans="1:8" x14ac:dyDescent="0.35">
      <c r="A36" s="28" t="s">
        <v>67</v>
      </c>
      <c r="B36" s="28"/>
      <c r="C36" s="28"/>
      <c r="D36" s="28"/>
      <c r="E36" s="28"/>
      <c r="F36" s="28"/>
      <c r="G36" s="28"/>
      <c r="H36" s="28"/>
    </row>
    <row r="37" spans="1:8" x14ac:dyDescent="0.35">
      <c r="A37" t="s">
        <v>74</v>
      </c>
      <c r="B37" s="11">
        <v>0.1603</v>
      </c>
      <c r="C37">
        <v>0.03</v>
      </c>
      <c r="D37" t="s">
        <v>69</v>
      </c>
      <c r="E37" t="s">
        <v>71</v>
      </c>
      <c r="F37" s="11">
        <v>-2.8490254625973838E-2</v>
      </c>
      <c r="G37" s="11">
        <v>8.6286594761171065E-2</v>
      </c>
      <c r="H37" t="s">
        <v>18</v>
      </c>
    </row>
    <row r="38" spans="1:8" x14ac:dyDescent="0.35">
      <c r="A38" t="s">
        <v>28</v>
      </c>
      <c r="B38" s="11">
        <v>0.1492</v>
      </c>
      <c r="C38">
        <v>0.77</v>
      </c>
      <c r="D38" t="s">
        <v>69</v>
      </c>
      <c r="E38" t="s">
        <v>71</v>
      </c>
      <c r="F38" s="11">
        <v>0.13095238095238099</v>
      </c>
      <c r="G38" s="11">
        <v>0.13095238095238099</v>
      </c>
      <c r="H38" t="s">
        <v>18</v>
      </c>
    </row>
    <row r="39" spans="1:8" x14ac:dyDescent="0.35">
      <c r="A39" t="s">
        <v>75</v>
      </c>
      <c r="B39" s="11">
        <v>0.121</v>
      </c>
      <c r="C39">
        <v>0.45</v>
      </c>
      <c r="D39" t="s">
        <v>69</v>
      </c>
      <c r="E39" t="s">
        <v>71</v>
      </c>
      <c r="F39" s="11">
        <v>5.7378496097999637E-2</v>
      </c>
      <c r="G39" s="11">
        <v>7.6796131251719094E-2</v>
      </c>
      <c r="H39" t="s">
        <v>18</v>
      </c>
    </row>
    <row r="40" spans="1:8" x14ac:dyDescent="0.35">
      <c r="A40" t="s">
        <v>29</v>
      </c>
      <c r="B40" s="11">
        <v>0.10539999999999999</v>
      </c>
      <c r="C40">
        <v>0.13</v>
      </c>
      <c r="D40" t="s">
        <v>69</v>
      </c>
      <c r="E40" t="s">
        <v>102</v>
      </c>
      <c r="F40" s="11">
        <v>0.20325203252032509</v>
      </c>
      <c r="G40" s="11">
        <v>0.20325203252032509</v>
      </c>
      <c r="H40" t="s">
        <v>17</v>
      </c>
    </row>
    <row r="41" spans="1:8" x14ac:dyDescent="0.35">
      <c r="A41" t="s">
        <v>82</v>
      </c>
      <c r="B41" s="11">
        <v>8.5000000000000006E-2</v>
      </c>
      <c r="C41">
        <v>0.6</v>
      </c>
      <c r="D41" t="s">
        <v>69</v>
      </c>
      <c r="E41" t="s">
        <v>84</v>
      </c>
      <c r="F41" s="11">
        <v>0.2282828282828282</v>
      </c>
      <c r="G41" s="11">
        <v>0.2282828282828282</v>
      </c>
      <c r="H41" t="s">
        <v>17</v>
      </c>
    </row>
    <row r="42" spans="1:8" x14ac:dyDescent="0.35">
      <c r="A42" t="s">
        <v>35</v>
      </c>
      <c r="B42" s="11">
        <v>8.4400000000000003E-2</v>
      </c>
      <c r="C42">
        <v>0.18</v>
      </c>
      <c r="D42" t="s">
        <v>33</v>
      </c>
      <c r="E42" t="s">
        <v>70</v>
      </c>
      <c r="F42" s="11">
        <v>0.2232893019694126</v>
      </c>
      <c r="G42" s="11">
        <v>0.2232893019694126</v>
      </c>
      <c r="H42" t="s">
        <v>17</v>
      </c>
    </row>
    <row r="43" spans="1:8" x14ac:dyDescent="0.35">
      <c r="A43" t="s">
        <v>85</v>
      </c>
      <c r="B43" s="25">
        <v>8.3199999999999996E-2</v>
      </c>
      <c r="C43">
        <v>7.0000000000000007E-2</v>
      </c>
      <c r="D43" t="s">
        <v>69</v>
      </c>
      <c r="E43" t="s">
        <v>73</v>
      </c>
      <c r="F43" s="25">
        <v>-0.15909090909090909</v>
      </c>
      <c r="G43" s="25">
        <v>0</v>
      </c>
      <c r="H43" t="s">
        <v>16</v>
      </c>
    </row>
    <row r="44" spans="1:8" x14ac:dyDescent="0.35">
      <c r="A44" t="s">
        <v>100</v>
      </c>
      <c r="B44" s="11">
        <v>7.3800000000000004E-2</v>
      </c>
      <c r="C44">
        <v>0.99</v>
      </c>
      <c r="D44" t="s">
        <v>69</v>
      </c>
      <c r="E44" t="s">
        <v>71</v>
      </c>
      <c r="F44" s="11">
        <v>-0.16536661466458649</v>
      </c>
      <c r="G44" s="11">
        <v>0</v>
      </c>
      <c r="H44" t="s">
        <v>16</v>
      </c>
    </row>
    <row r="45" spans="1:8" x14ac:dyDescent="0.35">
      <c r="A45" t="s">
        <v>99</v>
      </c>
      <c r="B45" s="11">
        <v>5.8400000000000001E-2</v>
      </c>
      <c r="C45">
        <v>0.64</v>
      </c>
      <c r="D45" t="s">
        <v>69</v>
      </c>
      <c r="E45" t="s">
        <v>71</v>
      </c>
      <c r="F45" s="11">
        <v>-5.8608058608058608E-2</v>
      </c>
      <c r="G45" s="11">
        <v>3.663003663003663E-3</v>
      </c>
      <c r="H45" t="s">
        <v>18</v>
      </c>
    </row>
    <row r="46" spans="1:8" x14ac:dyDescent="0.35">
      <c r="A46" t="s">
        <v>49</v>
      </c>
      <c r="B46" s="11">
        <v>4.1000000000000002E-2</v>
      </c>
      <c r="C46">
        <v>0.95</v>
      </c>
      <c r="D46" t="s">
        <v>69</v>
      </c>
      <c r="E46" t="s">
        <v>101</v>
      </c>
      <c r="F46" s="11">
        <v>0.25330812854442353</v>
      </c>
      <c r="G46" s="11">
        <v>0.25330812854442353</v>
      </c>
      <c r="H46" t="s">
        <v>17</v>
      </c>
    </row>
    <row r="47" spans="1:8" s="17" customFormat="1" x14ac:dyDescent="0.35">
      <c r="A47" t="s">
        <v>26</v>
      </c>
      <c r="B47" s="11">
        <v>3.8300000000000001E-2</v>
      </c>
      <c r="C47">
        <v>0.25</v>
      </c>
      <c r="D47" t="s">
        <v>33</v>
      </c>
      <c r="E47" t="s">
        <v>71</v>
      </c>
      <c r="F47" s="11">
        <v>5.226802309618412E-2</v>
      </c>
      <c r="G47" s="11">
        <v>0.18918918918918909</v>
      </c>
      <c r="H47" t="s">
        <v>18</v>
      </c>
    </row>
    <row r="48" spans="1:8" x14ac:dyDescent="0.35">
      <c r="A48" s="28" t="s">
        <v>83</v>
      </c>
      <c r="B48" s="28"/>
      <c r="C48" s="28"/>
      <c r="D48" s="28"/>
      <c r="E48" s="28"/>
      <c r="F48" s="28"/>
      <c r="G48" s="28"/>
      <c r="H48" s="28"/>
    </row>
    <row r="49" spans="1:8" x14ac:dyDescent="0.35">
      <c r="A49" t="s">
        <v>75</v>
      </c>
      <c r="B49" s="11">
        <v>0.1321</v>
      </c>
      <c r="C49">
        <v>0.45</v>
      </c>
      <c r="D49" t="s">
        <v>69</v>
      </c>
      <c r="E49" t="s">
        <v>80</v>
      </c>
      <c r="F49" s="11">
        <v>-5.0301117027172368E-2</v>
      </c>
      <c r="G49" s="11">
        <v>7.6796131251719094E-2</v>
      </c>
      <c r="H49" t="s">
        <v>18</v>
      </c>
    </row>
    <row r="50" spans="1:8" x14ac:dyDescent="0.35">
      <c r="A50" t="s">
        <v>106</v>
      </c>
      <c r="B50" s="11">
        <v>0.11799999999999999</v>
      </c>
      <c r="C50" s="22">
        <v>0.71</v>
      </c>
      <c r="D50" t="s">
        <v>78</v>
      </c>
      <c r="E50" t="s">
        <v>107</v>
      </c>
      <c r="F50" s="11">
        <v>-0.15609756097560981</v>
      </c>
      <c r="G50" s="11">
        <v>0</v>
      </c>
      <c r="H50" t="s">
        <v>16</v>
      </c>
    </row>
    <row r="51" spans="1:8" x14ac:dyDescent="0.35">
      <c r="A51" t="s">
        <v>28</v>
      </c>
      <c r="B51" s="11">
        <v>0.11609999999999999</v>
      </c>
      <c r="C51" s="22">
        <v>0.77</v>
      </c>
      <c r="D51" t="s">
        <v>69</v>
      </c>
      <c r="E51" t="s">
        <v>80</v>
      </c>
      <c r="F51" s="11">
        <v>0.1261904761904763</v>
      </c>
      <c r="G51" s="11">
        <v>0.1595238095238096</v>
      </c>
      <c r="H51" t="s">
        <v>18</v>
      </c>
    </row>
    <row r="52" spans="1:8" x14ac:dyDescent="0.35">
      <c r="A52" t="s">
        <v>108</v>
      </c>
      <c r="B52" s="11">
        <v>0.1043</v>
      </c>
      <c r="C52" s="22">
        <v>0.66</v>
      </c>
      <c r="D52" t="s">
        <v>78</v>
      </c>
      <c r="E52" t="s">
        <v>80</v>
      </c>
      <c r="F52" s="11">
        <v>-7.0671319822763631E-2</v>
      </c>
      <c r="G52" s="11">
        <v>7.0252469813391977E-2</v>
      </c>
      <c r="H52" t="s">
        <v>18</v>
      </c>
    </row>
    <row r="53" spans="1:8" x14ac:dyDescent="0.35">
      <c r="A53" t="s">
        <v>77</v>
      </c>
      <c r="B53" s="11">
        <v>7.4499999999999997E-2</v>
      </c>
      <c r="C53">
        <v>0.88</v>
      </c>
      <c r="D53" t="s">
        <v>78</v>
      </c>
      <c r="E53" t="s">
        <v>79</v>
      </c>
      <c r="F53" s="11">
        <v>-0.17127079596215389</v>
      </c>
      <c r="G53" s="11">
        <v>2.2222222222221472E-3</v>
      </c>
      <c r="H53" t="s">
        <v>16</v>
      </c>
    </row>
    <row r="54" spans="1:8" x14ac:dyDescent="0.35">
      <c r="A54" t="s">
        <v>90</v>
      </c>
      <c r="B54" s="11">
        <v>6.8500000000000005E-2</v>
      </c>
      <c r="C54" s="22">
        <v>1.24</v>
      </c>
      <c r="D54" t="s">
        <v>78</v>
      </c>
      <c r="E54" t="s">
        <v>103</v>
      </c>
      <c r="F54" s="11">
        <v>0.26126126126126131</v>
      </c>
      <c r="G54" s="11">
        <v>0.26126126126126131</v>
      </c>
      <c r="H54" t="s">
        <v>17</v>
      </c>
    </row>
    <row r="55" spans="1:8" x14ac:dyDescent="0.35">
      <c r="A55" t="s">
        <v>20</v>
      </c>
      <c r="B55" s="25">
        <v>6.7100000000000007E-2</v>
      </c>
      <c r="C55" s="27">
        <v>0.49</v>
      </c>
      <c r="D55" t="s">
        <v>78</v>
      </c>
      <c r="E55" t="s">
        <v>81</v>
      </c>
      <c r="F55" s="25">
        <v>-0.1701674688545223</v>
      </c>
      <c r="G55" s="25">
        <v>6.3887561620846786E-2</v>
      </c>
      <c r="H55" t="s">
        <v>16</v>
      </c>
    </row>
    <row r="56" spans="1:8" x14ac:dyDescent="0.35">
      <c r="A56" s="17" t="s">
        <v>26</v>
      </c>
      <c r="B56" s="18">
        <v>6.5600000000000006E-2</v>
      </c>
      <c r="C56" s="24">
        <v>0.25</v>
      </c>
      <c r="D56" s="17" t="s">
        <v>33</v>
      </c>
      <c r="E56" s="17" t="s">
        <v>80</v>
      </c>
      <c r="F56" s="18">
        <v>-1.0441622429563551E-2</v>
      </c>
      <c r="G56" s="18">
        <v>0.18918918918918909</v>
      </c>
      <c r="H56" s="17" t="s">
        <v>18</v>
      </c>
    </row>
    <row r="57" spans="1:8" x14ac:dyDescent="0.35">
      <c r="A57" t="s">
        <v>61</v>
      </c>
      <c r="B57" s="11">
        <v>6.1699999999999998E-2</v>
      </c>
      <c r="C57" s="22">
        <v>0.71</v>
      </c>
      <c r="D57" t="s">
        <v>78</v>
      </c>
      <c r="E57" t="s">
        <v>104</v>
      </c>
      <c r="F57" s="11">
        <v>-0.16194331983805671</v>
      </c>
      <c r="G57" s="11">
        <v>4.048582995951417E-3</v>
      </c>
      <c r="H57" t="s">
        <v>16</v>
      </c>
    </row>
    <row r="58" spans="1:8" x14ac:dyDescent="0.35">
      <c r="A58" t="s">
        <v>109</v>
      </c>
      <c r="B58" s="11">
        <v>5.4399999999999997E-2</v>
      </c>
      <c r="C58" s="22">
        <v>0.28000000000000003</v>
      </c>
      <c r="D58" t="s">
        <v>78</v>
      </c>
      <c r="E58" t="s">
        <v>80</v>
      </c>
      <c r="F58" s="11">
        <v>3.3560571509534038E-3</v>
      </c>
      <c r="G58" s="11">
        <v>6.7114093959730926E-3</v>
      </c>
      <c r="H58" t="s">
        <v>18</v>
      </c>
    </row>
    <row r="59" spans="1:8" s="17" customFormat="1" x14ac:dyDescent="0.35">
      <c r="A59" t="s">
        <v>74</v>
      </c>
      <c r="B59" s="11">
        <v>5.0700000000000002E-2</v>
      </c>
      <c r="C59" s="22">
        <v>0.03</v>
      </c>
      <c r="D59" t="s">
        <v>69</v>
      </c>
      <c r="E59" t="s">
        <v>80</v>
      </c>
      <c r="F59" s="11">
        <v>1.037013518898721E-2</v>
      </c>
      <c r="G59" s="11">
        <v>8.6286594761171065E-2</v>
      </c>
      <c r="H59" t="s">
        <v>18</v>
      </c>
    </row>
    <row r="60" spans="1:8" x14ac:dyDescent="0.35">
      <c r="A60" t="s">
        <v>99</v>
      </c>
      <c r="B60" s="11">
        <v>4.4299999999999999E-2</v>
      </c>
      <c r="C60">
        <v>0.64</v>
      </c>
      <c r="D60" t="s">
        <v>69</v>
      </c>
      <c r="E60" t="s">
        <v>105</v>
      </c>
      <c r="F60" s="11">
        <v>-0.16849816849816851</v>
      </c>
      <c r="G60" s="11">
        <v>3.663003663003663E-3</v>
      </c>
      <c r="H60" t="s">
        <v>16</v>
      </c>
    </row>
    <row r="61" spans="1:8" x14ac:dyDescent="0.35">
      <c r="A61" t="s">
        <v>110</v>
      </c>
      <c r="B61" s="11">
        <v>4.2700000000000002E-2</v>
      </c>
      <c r="C61">
        <v>0.42</v>
      </c>
      <c r="D61" t="s">
        <v>78</v>
      </c>
      <c r="E61" t="s">
        <v>80</v>
      </c>
      <c r="F61" s="11">
        <v>4.9301278506990467E-2</v>
      </c>
      <c r="G61" s="11">
        <v>4.9301278506990467E-2</v>
      </c>
      <c r="H61" t="s">
        <v>18</v>
      </c>
    </row>
  </sheetData>
  <sortState xmlns:xlrd2="http://schemas.microsoft.com/office/spreadsheetml/2017/richdata2" ref="A49:H61">
    <sortCondition descending="1" ref="B49:B61"/>
  </sortState>
  <mergeCells count="4">
    <mergeCell ref="A48:H48"/>
    <mergeCell ref="A2:H2"/>
    <mergeCell ref="A17:H17"/>
    <mergeCell ref="A36:H36"/>
  </mergeCells>
  <conditionalFormatting sqref="A1:A2">
    <cfRule type="duplicateValues" dxfId="8" priority="21"/>
  </conditionalFormatting>
  <conditionalFormatting sqref="A1:A1048576">
    <cfRule type="duplicateValues" dxfId="7" priority="16"/>
  </conditionalFormatting>
  <conditionalFormatting sqref="A17">
    <cfRule type="duplicateValues" dxfId="6" priority="12"/>
  </conditionalFormatting>
  <conditionalFormatting sqref="A36">
    <cfRule type="duplicateValues" dxfId="5" priority="8"/>
  </conditionalFormatting>
  <conditionalFormatting sqref="A48">
    <cfRule type="duplicateValues" dxfId="4" priority="4"/>
  </conditionalFormatting>
  <conditionalFormatting sqref="F1:F1048576">
    <cfRule type="cellIs" dxfId="3" priority="6" operator="lessThan">
      <formula>0</formula>
    </cfRule>
  </conditionalFormatting>
  <conditionalFormatting sqref="H1:H1048576">
    <cfRule type="cellIs" dxfId="2" priority="1" operator="equal">
      <formula>"Take Profit"</formula>
    </cfRule>
    <cfRule type="cellIs" dxfId="1" priority="2" operator="equal">
      <formula>"Keep Position"</formula>
    </cfRule>
    <cfRule type="cellIs" dxfId="0" priority="3" operator="equal">
      <formula>"Stop Loss"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2026-03-19T08:42:40Z</dcterms:modified>
</cp:coreProperties>
</file>