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4756204B-E737-4123-B30D-5DC82621F5C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Daily_Returns" sheetId="2" r:id="rId2"/>
    <sheet name="Trad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E11" i="1"/>
  <c r="E10" i="1"/>
  <c r="D11" i="1"/>
  <c r="D10" i="1"/>
  <c r="C11" i="1"/>
  <c r="C10" i="1"/>
  <c r="B10" i="1"/>
  <c r="B11" i="1"/>
</calcChain>
</file>

<file path=xl/sharedStrings.xml><?xml version="1.0" encoding="utf-8"?>
<sst xmlns="http://schemas.openxmlformats.org/spreadsheetml/2006/main" count="253" uniqueCount="89">
  <si>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</si>
  <si>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</si>
  <si>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</si>
  <si>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</si>
  <si>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</si>
  <si>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</si>
  <si>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</si>
  <si>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</si>
  <si>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</si>
  <si>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</si>
  <si>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</si>
  <si>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</si>
  <si>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</si>
  <si>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</si>
  <si>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</si>
  <si>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</si>
  <si>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</si>
  <si>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</si>
  <si>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</si>
  <si>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Return at the end (%)</t>
  </si>
  <si>
    <t>BMP</t>
  </si>
  <si>
    <t>2023-01-03</t>
  </si>
  <si>
    <t>2023-03-31</t>
  </si>
  <si>
    <t>NT2</t>
  </si>
  <si>
    <t>TCM</t>
  </si>
  <si>
    <t>TDP</t>
  </si>
  <si>
    <t>VCB</t>
  </si>
  <si>
    <t>Win Rate (%) - Return &gt; 0</t>
  </si>
  <si>
    <t>Take Profit (%)</t>
  </si>
  <si>
    <t>Stop Loss (%)</t>
  </si>
  <si>
    <t>2023Q1</t>
  </si>
  <si>
    <t>Q1/2023</t>
  </si>
  <si>
    <t>Q2/2023</t>
  </si>
  <si>
    <t>2023-04-03</t>
  </si>
  <si>
    <t>2023Q2</t>
  </si>
  <si>
    <t>Q3/2023</t>
  </si>
  <si>
    <t>2023-07-03</t>
  </si>
  <si>
    <t>DHG</t>
  </si>
  <si>
    <t>2023-09-29</t>
  </si>
  <si>
    <t>ST8</t>
  </si>
  <si>
    <t>VTP</t>
  </si>
  <si>
    <t>2023Q3</t>
  </si>
  <si>
    <t>2023-10-02</t>
  </si>
  <si>
    <t>DBD</t>
  </si>
  <si>
    <t>2023-12-29</t>
  </si>
  <si>
    <t>2023-10-30</t>
  </si>
  <si>
    <t>FPT</t>
  </si>
  <si>
    <t>2023-10-31</t>
  </si>
  <si>
    <t>2023-10-26</t>
  </si>
  <si>
    <t>Q4/2023</t>
  </si>
  <si>
    <t>2023Q4</t>
  </si>
  <si>
    <t>ACV</t>
  </si>
  <si>
    <t>BID</t>
  </si>
  <si>
    <t>FIR</t>
  </si>
  <si>
    <t>NHH</t>
  </si>
  <si>
    <t>VNM</t>
  </si>
  <si>
    <t>VPD</t>
  </si>
  <si>
    <t>2023-03-20</t>
  </si>
  <si>
    <t>Max Return</t>
  </si>
  <si>
    <t>ACC</t>
  </si>
  <si>
    <t>2023-06-30</t>
  </si>
  <si>
    <t>CST</t>
  </si>
  <si>
    <t>CTF</t>
  </si>
  <si>
    <t>2023-06-09</t>
  </si>
  <si>
    <t>NAG</t>
  </si>
  <si>
    <t>2023-05-23</t>
  </si>
  <si>
    <t>2023-05-24</t>
  </si>
  <si>
    <t>CLX</t>
  </si>
  <si>
    <t>DTD</t>
  </si>
  <si>
    <t>2023-07-10</t>
  </si>
  <si>
    <t>EVE</t>
  </si>
  <si>
    <t>FCN</t>
  </si>
  <si>
    <t>2023-09-13</t>
  </si>
  <si>
    <t>2023-07-31</t>
  </si>
  <si>
    <t>2023-07-11</t>
  </si>
  <si>
    <t>NTP</t>
  </si>
  <si>
    <t>QTP</t>
  </si>
  <si>
    <t>2023-10-05</t>
  </si>
  <si>
    <t>DCM</t>
  </si>
  <si>
    <t>DHA</t>
  </si>
  <si>
    <t>DPR</t>
  </si>
  <si>
    <t>FMC</t>
  </si>
  <si>
    <t>LAS</t>
  </si>
  <si>
    <t>MPC</t>
  </si>
  <si>
    <t>TV2</t>
  </si>
  <si>
    <t>VIX</t>
  </si>
  <si>
    <t>2023-10-27</t>
  </si>
  <si>
    <t>VNR</t>
  </si>
  <si>
    <t>2023-12-27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</si>
</sst>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0" xfId="0" applyNumberFormat="1"/>
    <xf numFmtId="164" fontId="5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10" fontId="3" fillId="0" borderId="0" xfId="2" applyNumberFormat="1" applyFont="1"/>
    <xf numFmtId="14" fontId="3" fillId="0" borderId="0" xfId="0" applyNumberFormat="1" applyFont="1"/>
    <xf numFmtId="10" fontId="2" fillId="0" borderId="1" xfId="2" applyNumberFormat="1" applyFont="1" applyBorder="1"/>
    <xf numFmtId="164" fontId="6" fillId="0" borderId="1" xfId="1" applyNumberFormat="1" applyFont="1" applyBorder="1"/>
    <xf numFmtId="2" fontId="0" fillId="0" borderId="0" xfId="2" applyNumberFormat="1" applyFont="1"/>
    <xf numFmtId="10" fontId="7" fillId="0" borderId="1" xfId="2" applyNumberFormat="1" applyFont="1" applyBorder="1"/>
    <xf numFmtId="2" fontId="3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18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5" tint="0.79998168889431442"/>
      </font>
      <fill>
        <patternFill>
          <bgColor theme="5" tint="-0.499984740745262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44953</c:v>
                </c:pt>
                <c:pt idx="14">
                  <c:v>44956</c:v>
                </c:pt>
                <c:pt idx="15">
                  <c:v>44957</c:v>
                </c:pt>
                <c:pt idx="16">
                  <c:v>44958</c:v>
                </c:pt>
                <c:pt idx="17">
                  <c:v>44959</c:v>
                </c:pt>
                <c:pt idx="18">
                  <c:v>44960</c:v>
                </c:pt>
                <c:pt idx="19">
                  <c:v>44963</c:v>
                </c:pt>
                <c:pt idx="20">
                  <c:v>44964</c:v>
                </c:pt>
                <c:pt idx="21">
                  <c:v>44965</c:v>
                </c:pt>
                <c:pt idx="22">
                  <c:v>44966</c:v>
                </c:pt>
                <c:pt idx="23">
                  <c:v>44967</c:v>
                </c:pt>
                <c:pt idx="24">
                  <c:v>44970</c:v>
                </c:pt>
                <c:pt idx="25">
                  <c:v>44971</c:v>
                </c:pt>
                <c:pt idx="26">
                  <c:v>44972</c:v>
                </c:pt>
                <c:pt idx="27">
                  <c:v>44973</c:v>
                </c:pt>
                <c:pt idx="28">
                  <c:v>44974</c:v>
                </c:pt>
                <c:pt idx="29">
                  <c:v>44977</c:v>
                </c:pt>
                <c:pt idx="30">
                  <c:v>44978</c:v>
                </c:pt>
                <c:pt idx="31">
                  <c:v>44979</c:v>
                </c:pt>
                <c:pt idx="32">
                  <c:v>44980</c:v>
                </c:pt>
                <c:pt idx="33">
                  <c:v>44981</c:v>
                </c:pt>
                <c:pt idx="34">
                  <c:v>44984</c:v>
                </c:pt>
                <c:pt idx="35">
                  <c:v>44985</c:v>
                </c:pt>
                <c:pt idx="36">
                  <c:v>44986</c:v>
                </c:pt>
                <c:pt idx="37">
                  <c:v>44987</c:v>
                </c:pt>
                <c:pt idx="38">
                  <c:v>44988</c:v>
                </c:pt>
                <c:pt idx="39">
                  <c:v>44991</c:v>
                </c:pt>
                <c:pt idx="40">
                  <c:v>44992</c:v>
                </c:pt>
                <c:pt idx="41">
                  <c:v>44993</c:v>
                </c:pt>
                <c:pt idx="42">
                  <c:v>44994</c:v>
                </c:pt>
                <c:pt idx="43">
                  <c:v>44995</c:v>
                </c:pt>
                <c:pt idx="44">
                  <c:v>44998</c:v>
                </c:pt>
                <c:pt idx="45">
                  <c:v>44999</c:v>
                </c:pt>
                <c:pt idx="46">
                  <c:v>45000</c:v>
                </c:pt>
                <c:pt idx="47">
                  <c:v>45001</c:v>
                </c:pt>
                <c:pt idx="48">
                  <c:v>45002</c:v>
                </c:pt>
                <c:pt idx="49">
                  <c:v>45005</c:v>
                </c:pt>
                <c:pt idx="50">
                  <c:v>45006</c:v>
                </c:pt>
                <c:pt idx="51">
                  <c:v>45007</c:v>
                </c:pt>
                <c:pt idx="52">
                  <c:v>45008</c:v>
                </c:pt>
                <c:pt idx="53">
                  <c:v>45009</c:v>
                </c:pt>
                <c:pt idx="54">
                  <c:v>45012</c:v>
                </c:pt>
                <c:pt idx="55">
                  <c:v>45013</c:v>
                </c:pt>
                <c:pt idx="56">
                  <c:v>45014</c:v>
                </c:pt>
                <c:pt idx="57">
                  <c:v>45015</c:v>
                </c:pt>
                <c:pt idx="58">
                  <c:v>45016</c:v>
                </c:pt>
                <c:pt idx="59">
                  <c:v>45019</c:v>
                </c:pt>
                <c:pt idx="60">
                  <c:v>45020</c:v>
                </c:pt>
                <c:pt idx="61">
                  <c:v>45021</c:v>
                </c:pt>
                <c:pt idx="62">
                  <c:v>45022</c:v>
                </c:pt>
                <c:pt idx="63">
                  <c:v>45023</c:v>
                </c:pt>
                <c:pt idx="64">
                  <c:v>45026</c:v>
                </c:pt>
                <c:pt idx="65">
                  <c:v>45027</c:v>
                </c:pt>
                <c:pt idx="66">
                  <c:v>45028</c:v>
                </c:pt>
                <c:pt idx="67">
                  <c:v>45029</c:v>
                </c:pt>
                <c:pt idx="68">
                  <c:v>45030</c:v>
                </c:pt>
                <c:pt idx="69">
                  <c:v>45033</c:v>
                </c:pt>
                <c:pt idx="70">
                  <c:v>45034</c:v>
                </c:pt>
                <c:pt idx="71">
                  <c:v>45035</c:v>
                </c:pt>
                <c:pt idx="72">
                  <c:v>45036</c:v>
                </c:pt>
                <c:pt idx="73">
                  <c:v>45037</c:v>
                </c:pt>
                <c:pt idx="74">
                  <c:v>45040</c:v>
                </c:pt>
                <c:pt idx="75">
                  <c:v>45041</c:v>
                </c:pt>
                <c:pt idx="76">
                  <c:v>45042</c:v>
                </c:pt>
                <c:pt idx="77">
                  <c:v>45043</c:v>
                </c:pt>
                <c:pt idx="78">
                  <c:v>45044</c:v>
                </c:pt>
                <c:pt idx="79">
                  <c:v>45050</c:v>
                </c:pt>
                <c:pt idx="80">
                  <c:v>45051</c:v>
                </c:pt>
                <c:pt idx="81">
                  <c:v>45054</c:v>
                </c:pt>
                <c:pt idx="82">
                  <c:v>45055</c:v>
                </c:pt>
                <c:pt idx="83">
                  <c:v>45056</c:v>
                </c:pt>
                <c:pt idx="84">
                  <c:v>45057</c:v>
                </c:pt>
                <c:pt idx="85">
                  <c:v>45058</c:v>
                </c:pt>
                <c:pt idx="86">
                  <c:v>45061</c:v>
                </c:pt>
                <c:pt idx="87">
                  <c:v>45062</c:v>
                </c:pt>
                <c:pt idx="88">
                  <c:v>45063</c:v>
                </c:pt>
                <c:pt idx="89">
                  <c:v>45064</c:v>
                </c:pt>
                <c:pt idx="90">
                  <c:v>45065</c:v>
                </c:pt>
                <c:pt idx="91">
                  <c:v>45068</c:v>
                </c:pt>
                <c:pt idx="92">
                  <c:v>45069</c:v>
                </c:pt>
                <c:pt idx="93">
                  <c:v>45070</c:v>
                </c:pt>
                <c:pt idx="94">
                  <c:v>45071</c:v>
                </c:pt>
                <c:pt idx="95">
                  <c:v>45072</c:v>
                </c:pt>
                <c:pt idx="96">
                  <c:v>45075</c:v>
                </c:pt>
                <c:pt idx="97">
                  <c:v>45076</c:v>
                </c:pt>
                <c:pt idx="98">
                  <c:v>45077</c:v>
                </c:pt>
                <c:pt idx="99">
                  <c:v>45078</c:v>
                </c:pt>
                <c:pt idx="100">
                  <c:v>45079</c:v>
                </c:pt>
                <c:pt idx="101">
                  <c:v>45082</c:v>
                </c:pt>
                <c:pt idx="102">
                  <c:v>45083</c:v>
                </c:pt>
                <c:pt idx="103">
                  <c:v>45084</c:v>
                </c:pt>
                <c:pt idx="104">
                  <c:v>45085</c:v>
                </c:pt>
                <c:pt idx="105">
                  <c:v>45086</c:v>
                </c:pt>
                <c:pt idx="106">
                  <c:v>45089</c:v>
                </c:pt>
                <c:pt idx="107">
                  <c:v>45090</c:v>
                </c:pt>
                <c:pt idx="108">
                  <c:v>45091</c:v>
                </c:pt>
                <c:pt idx="109">
                  <c:v>45092</c:v>
                </c:pt>
                <c:pt idx="110">
                  <c:v>45093</c:v>
                </c:pt>
                <c:pt idx="111">
                  <c:v>45096</c:v>
                </c:pt>
                <c:pt idx="112">
                  <c:v>45097</c:v>
                </c:pt>
                <c:pt idx="113">
                  <c:v>45098</c:v>
                </c:pt>
                <c:pt idx="114">
                  <c:v>45099</c:v>
                </c:pt>
                <c:pt idx="115">
                  <c:v>45100</c:v>
                </c:pt>
                <c:pt idx="116">
                  <c:v>45103</c:v>
                </c:pt>
                <c:pt idx="117">
                  <c:v>45104</c:v>
                </c:pt>
                <c:pt idx="118">
                  <c:v>45105</c:v>
                </c:pt>
                <c:pt idx="119">
                  <c:v>45106</c:v>
                </c:pt>
                <c:pt idx="120">
                  <c:v>45107</c:v>
                </c:pt>
                <c:pt idx="121">
                  <c:v>45110</c:v>
                </c:pt>
                <c:pt idx="122">
                  <c:v>45111</c:v>
                </c:pt>
                <c:pt idx="123">
                  <c:v>45112</c:v>
                </c:pt>
                <c:pt idx="124">
                  <c:v>45113</c:v>
                </c:pt>
                <c:pt idx="125">
                  <c:v>45114</c:v>
                </c:pt>
                <c:pt idx="126">
                  <c:v>45117</c:v>
                </c:pt>
                <c:pt idx="127">
                  <c:v>45118</c:v>
                </c:pt>
                <c:pt idx="128">
                  <c:v>45119</c:v>
                </c:pt>
                <c:pt idx="129">
                  <c:v>45120</c:v>
                </c:pt>
                <c:pt idx="130">
                  <c:v>45121</c:v>
                </c:pt>
                <c:pt idx="131">
                  <c:v>45124</c:v>
                </c:pt>
                <c:pt idx="132">
                  <c:v>45125</c:v>
                </c:pt>
                <c:pt idx="133">
                  <c:v>45126</c:v>
                </c:pt>
                <c:pt idx="134">
                  <c:v>45127</c:v>
                </c:pt>
                <c:pt idx="135">
                  <c:v>45128</c:v>
                </c:pt>
                <c:pt idx="136">
                  <c:v>45131</c:v>
                </c:pt>
                <c:pt idx="137">
                  <c:v>45132</c:v>
                </c:pt>
                <c:pt idx="138">
                  <c:v>45133</c:v>
                </c:pt>
                <c:pt idx="139">
                  <c:v>45134</c:v>
                </c:pt>
                <c:pt idx="140">
                  <c:v>45135</c:v>
                </c:pt>
                <c:pt idx="141">
                  <c:v>45138</c:v>
                </c:pt>
                <c:pt idx="142">
                  <c:v>45139</c:v>
                </c:pt>
                <c:pt idx="143">
                  <c:v>45140</c:v>
                </c:pt>
                <c:pt idx="144">
                  <c:v>45141</c:v>
                </c:pt>
                <c:pt idx="145">
                  <c:v>45142</c:v>
                </c:pt>
                <c:pt idx="146">
                  <c:v>45145</c:v>
                </c:pt>
                <c:pt idx="147">
                  <c:v>45146</c:v>
                </c:pt>
                <c:pt idx="148">
                  <c:v>45147</c:v>
                </c:pt>
                <c:pt idx="149">
                  <c:v>45148</c:v>
                </c:pt>
                <c:pt idx="150">
                  <c:v>45149</c:v>
                </c:pt>
                <c:pt idx="151">
                  <c:v>45152</c:v>
                </c:pt>
                <c:pt idx="152">
                  <c:v>45153</c:v>
                </c:pt>
                <c:pt idx="153">
                  <c:v>45154</c:v>
                </c:pt>
                <c:pt idx="154">
                  <c:v>45155</c:v>
                </c:pt>
                <c:pt idx="155">
                  <c:v>45156</c:v>
                </c:pt>
                <c:pt idx="156">
                  <c:v>45159</c:v>
                </c:pt>
                <c:pt idx="157">
                  <c:v>45160</c:v>
                </c:pt>
                <c:pt idx="158">
                  <c:v>45161</c:v>
                </c:pt>
                <c:pt idx="159">
                  <c:v>45162</c:v>
                </c:pt>
                <c:pt idx="160">
                  <c:v>45163</c:v>
                </c:pt>
                <c:pt idx="161">
                  <c:v>45166</c:v>
                </c:pt>
                <c:pt idx="162">
                  <c:v>45167</c:v>
                </c:pt>
                <c:pt idx="163">
                  <c:v>45168</c:v>
                </c:pt>
                <c:pt idx="164">
                  <c:v>45169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45212</c:v>
                </c:pt>
                <c:pt idx="194">
                  <c:v>45215</c:v>
                </c:pt>
                <c:pt idx="195">
                  <c:v>45216</c:v>
                </c:pt>
                <c:pt idx="196">
                  <c:v>45217</c:v>
                </c:pt>
                <c:pt idx="197">
                  <c:v>45218</c:v>
                </c:pt>
                <c:pt idx="198">
                  <c:v>45219</c:v>
                </c:pt>
                <c:pt idx="199">
                  <c:v>45222</c:v>
                </c:pt>
                <c:pt idx="200">
                  <c:v>45223</c:v>
                </c:pt>
                <c:pt idx="201">
                  <c:v>45224</c:v>
                </c:pt>
                <c:pt idx="202">
                  <c:v>45225</c:v>
                </c:pt>
                <c:pt idx="203">
                  <c:v>45226</c:v>
                </c:pt>
                <c:pt idx="204">
                  <c:v>45229</c:v>
                </c:pt>
                <c:pt idx="205">
                  <c:v>45230</c:v>
                </c:pt>
                <c:pt idx="206">
                  <c:v>45231</c:v>
                </c:pt>
                <c:pt idx="207">
                  <c:v>45232</c:v>
                </c:pt>
                <c:pt idx="208">
                  <c:v>45233</c:v>
                </c:pt>
                <c:pt idx="209">
                  <c:v>45236</c:v>
                </c:pt>
                <c:pt idx="210">
                  <c:v>45237</c:v>
                </c:pt>
                <c:pt idx="211">
                  <c:v>45238</c:v>
                </c:pt>
                <c:pt idx="212">
                  <c:v>45239</c:v>
                </c:pt>
                <c:pt idx="213">
                  <c:v>45240</c:v>
                </c:pt>
                <c:pt idx="214">
                  <c:v>45243</c:v>
                </c:pt>
                <c:pt idx="215">
                  <c:v>45244</c:v>
                </c:pt>
                <c:pt idx="216">
                  <c:v>45245</c:v>
                </c:pt>
                <c:pt idx="217">
                  <c:v>45246</c:v>
                </c:pt>
                <c:pt idx="218">
                  <c:v>45247</c:v>
                </c:pt>
                <c:pt idx="219">
                  <c:v>45250</c:v>
                </c:pt>
                <c:pt idx="220">
                  <c:v>45251</c:v>
                </c:pt>
                <c:pt idx="221">
                  <c:v>45252</c:v>
                </c:pt>
                <c:pt idx="222">
                  <c:v>45253</c:v>
                </c:pt>
                <c:pt idx="223">
                  <c:v>45254</c:v>
                </c:pt>
                <c:pt idx="224">
                  <c:v>45257</c:v>
                </c:pt>
                <c:pt idx="225">
                  <c:v>45258</c:v>
                </c:pt>
                <c:pt idx="226">
                  <c:v>45259</c:v>
                </c:pt>
                <c:pt idx="227">
                  <c:v>45260</c:v>
                </c:pt>
                <c:pt idx="228">
                  <c:v>45261</c:v>
                </c:pt>
                <c:pt idx="229">
                  <c:v>45264</c:v>
                </c:pt>
                <c:pt idx="230">
                  <c:v>45265</c:v>
                </c:pt>
                <c:pt idx="231">
                  <c:v>45266</c:v>
                </c:pt>
                <c:pt idx="232">
                  <c:v>45267</c:v>
                </c:pt>
                <c:pt idx="233">
                  <c:v>45268</c:v>
                </c:pt>
                <c:pt idx="234">
                  <c:v>45271</c:v>
                </c:pt>
                <c:pt idx="235">
                  <c:v>45272</c:v>
                </c:pt>
                <c:pt idx="236">
                  <c:v>45273</c:v>
                </c:pt>
                <c:pt idx="237">
                  <c:v>45274</c:v>
                </c:pt>
                <c:pt idx="238">
                  <c:v>45275</c:v>
                </c:pt>
                <c:pt idx="239">
                  <c:v>45278</c:v>
                </c:pt>
                <c:pt idx="240">
                  <c:v>45279</c:v>
                </c:pt>
                <c:pt idx="241">
                  <c:v>45280</c:v>
                </c:pt>
                <c:pt idx="242">
                  <c:v>45281</c:v>
                </c:pt>
                <c:pt idx="243">
                  <c:v>45282</c:v>
                </c:pt>
                <c:pt idx="244">
                  <c:v>45285</c:v>
                </c:pt>
                <c:pt idx="245">
                  <c:v>45286</c:v>
                </c:pt>
                <c:pt idx="246">
                  <c:v>45287</c:v>
                </c:pt>
                <c:pt idx="247">
                  <c:v>45288</c:v>
                </c:pt>
                <c:pt idx="248">
                  <c:v>45289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1000973822.914268</c:v>
                </c:pt>
                <c:pt idx="2">
                  <c:v>1004394330.456712</c:v>
                </c:pt>
                <c:pt idx="3">
                  <c:v>1001086148.368798</c:v>
                </c:pt>
                <c:pt idx="4">
                  <c:v>1000165827.501593</c:v>
                </c:pt>
                <c:pt idx="5">
                  <c:v>999159974.31426537</c:v>
                </c:pt>
                <c:pt idx="6">
                  <c:v>999317361.38740134</c:v>
                </c:pt>
                <c:pt idx="7">
                  <c:v>997733625.90388513</c:v>
                </c:pt>
                <c:pt idx="8">
                  <c:v>1003188373.212775</c:v>
                </c:pt>
                <c:pt idx="9">
                  <c:v>1006909241.551874</c:v>
                </c:pt>
                <c:pt idx="10">
                  <c:v>1017893446.224237</c:v>
                </c:pt>
                <c:pt idx="11">
                  <c:v>1025716032.505289</c:v>
                </c:pt>
                <c:pt idx="12">
                  <c:v>1031109040.518808</c:v>
                </c:pt>
                <c:pt idx="13">
                  <c:v>1023680739.9325989</c:v>
                </c:pt>
                <c:pt idx="14">
                  <c:v>1026498363.589599</c:v>
                </c:pt>
                <c:pt idx="15">
                  <c:v>1015119970.722989</c:v>
                </c:pt>
                <c:pt idx="16">
                  <c:v>999552696.54337728</c:v>
                </c:pt>
                <c:pt idx="17">
                  <c:v>1000412586.0033</c:v>
                </c:pt>
                <c:pt idx="18">
                  <c:v>994968253.61605799</c:v>
                </c:pt>
                <c:pt idx="19">
                  <c:v>1001597377.842304</c:v>
                </c:pt>
                <c:pt idx="20">
                  <c:v>992778563.01529968</c:v>
                </c:pt>
                <c:pt idx="21">
                  <c:v>999326862.90780795</c:v>
                </c:pt>
                <c:pt idx="22">
                  <c:v>999458541.85646176</c:v>
                </c:pt>
                <c:pt idx="23">
                  <c:v>997900273.99135935</c:v>
                </c:pt>
                <c:pt idx="24">
                  <c:v>998990896.01218307</c:v>
                </c:pt>
                <c:pt idx="25">
                  <c:v>994975296.0010246</c:v>
                </c:pt>
                <c:pt idx="26">
                  <c:v>1011077127.505161</c:v>
                </c:pt>
                <c:pt idx="27">
                  <c:v>1015096852.28341</c:v>
                </c:pt>
                <c:pt idx="28">
                  <c:v>1016230702.358995</c:v>
                </c:pt>
                <c:pt idx="29">
                  <c:v>1032815166.527052</c:v>
                </c:pt>
                <c:pt idx="30">
                  <c:v>1028295926.5113339</c:v>
                </c:pt>
                <c:pt idx="31">
                  <c:v>1009054320.084968</c:v>
                </c:pt>
                <c:pt idx="32">
                  <c:v>1017033825.598184</c:v>
                </c:pt>
                <c:pt idx="33">
                  <c:v>1004920070.618384</c:v>
                </c:pt>
                <c:pt idx="34">
                  <c:v>1000733220.662663</c:v>
                </c:pt>
                <c:pt idx="35">
                  <c:v>1000563906.109777</c:v>
                </c:pt>
                <c:pt idx="36">
                  <c:v>1014171216.799101</c:v>
                </c:pt>
                <c:pt idx="37">
                  <c:v>1017226001.360552</c:v>
                </c:pt>
                <c:pt idx="38">
                  <c:v>1011097417.822125</c:v>
                </c:pt>
                <c:pt idx="39">
                  <c:v>1009172641.877545</c:v>
                </c:pt>
                <c:pt idx="40">
                  <c:v>1016312015.210878</c:v>
                </c:pt>
                <c:pt idx="41">
                  <c:v>1018326595.566306</c:v>
                </c:pt>
                <c:pt idx="42">
                  <c:v>1018932405.034526</c:v>
                </c:pt>
                <c:pt idx="43">
                  <c:v>1019414797.453542</c:v>
                </c:pt>
                <c:pt idx="44">
                  <c:v>1014799924.035305</c:v>
                </c:pt>
                <c:pt idx="45">
                  <c:v>1006475240.471162</c:v>
                </c:pt>
                <c:pt idx="46">
                  <c:v>1024310572.438532</c:v>
                </c:pt>
                <c:pt idx="47">
                  <c:v>1025193556.730018</c:v>
                </c:pt>
                <c:pt idx="48">
                  <c:v>1028731993.735415</c:v>
                </c:pt>
                <c:pt idx="49">
                  <c:v>1027527472.903139</c:v>
                </c:pt>
                <c:pt idx="50">
                  <c:v>1031452904.336689</c:v>
                </c:pt>
                <c:pt idx="51">
                  <c:v>1033757692.34745</c:v>
                </c:pt>
                <c:pt idx="52">
                  <c:v>1034782744.615484</c:v>
                </c:pt>
                <c:pt idx="53">
                  <c:v>1026860869.692433</c:v>
                </c:pt>
                <c:pt idx="54">
                  <c:v>1029514290.5803</c:v>
                </c:pt>
                <c:pt idx="55">
                  <c:v>1030076609.189662</c:v>
                </c:pt>
                <c:pt idx="56">
                  <c:v>1029211930.9584709</c:v>
                </c:pt>
                <c:pt idx="57">
                  <c:v>1030080376.896564</c:v>
                </c:pt>
                <c:pt idx="58">
                  <c:v>1029626619.587041</c:v>
                </c:pt>
                <c:pt idx="59">
                  <c:v>1029626620</c:v>
                </c:pt>
                <c:pt idx="60">
                  <c:v>1028716220.717324</c:v>
                </c:pt>
                <c:pt idx="61">
                  <c:v>1039301963.148348</c:v>
                </c:pt>
                <c:pt idx="62">
                  <c:v>1039717747.9082201</c:v>
                </c:pt>
                <c:pt idx="63">
                  <c:v>1036583908.252556</c:v>
                </c:pt>
                <c:pt idx="64">
                  <c:v>1027893417.817468</c:v>
                </c:pt>
                <c:pt idx="65">
                  <c:v>1017571435.565698</c:v>
                </c:pt>
                <c:pt idx="66">
                  <c:v>1016643550.044802</c:v>
                </c:pt>
                <c:pt idx="67">
                  <c:v>1026511952.643079</c:v>
                </c:pt>
                <c:pt idx="68">
                  <c:v>1034933895.888992</c:v>
                </c:pt>
                <c:pt idx="69">
                  <c:v>1036718360.1138361</c:v>
                </c:pt>
                <c:pt idx="70">
                  <c:v>1032871566.1840971</c:v>
                </c:pt>
                <c:pt idx="71">
                  <c:v>1034507665.452234</c:v>
                </c:pt>
                <c:pt idx="72">
                  <c:v>1042325781.745681</c:v>
                </c:pt>
                <c:pt idx="73">
                  <c:v>1042093661.9639291</c:v>
                </c:pt>
                <c:pt idx="74">
                  <c:v>1040170704.7667511</c:v>
                </c:pt>
                <c:pt idx="75">
                  <c:v>1027258811.886111</c:v>
                </c:pt>
                <c:pt idx="76">
                  <c:v>1027592299.868824</c:v>
                </c:pt>
                <c:pt idx="77">
                  <c:v>1025887503.436056</c:v>
                </c:pt>
                <c:pt idx="78">
                  <c:v>1028619575.609387</c:v>
                </c:pt>
                <c:pt idx="79">
                  <c:v>1024422611.622594</c:v>
                </c:pt>
                <c:pt idx="80">
                  <c:v>1017290836.828564</c:v>
                </c:pt>
                <c:pt idx="81">
                  <c:v>1022450759.79712</c:v>
                </c:pt>
                <c:pt idx="82">
                  <c:v>1024926215.521184</c:v>
                </c:pt>
                <c:pt idx="83">
                  <c:v>1044939003.5214109</c:v>
                </c:pt>
                <c:pt idx="84">
                  <c:v>1054391290.382665</c:v>
                </c:pt>
                <c:pt idx="85">
                  <c:v>1052956840.898266</c:v>
                </c:pt>
                <c:pt idx="86">
                  <c:v>1044810805.958419</c:v>
                </c:pt>
                <c:pt idx="87">
                  <c:v>1041832901.700966</c:v>
                </c:pt>
                <c:pt idx="88">
                  <c:v>1030946074.261353</c:v>
                </c:pt>
                <c:pt idx="89">
                  <c:v>1040990356.528988</c:v>
                </c:pt>
                <c:pt idx="90">
                  <c:v>1054992720.47531</c:v>
                </c:pt>
                <c:pt idx="91">
                  <c:v>1056333097.936895</c:v>
                </c:pt>
                <c:pt idx="92">
                  <c:v>1060959853.6332999</c:v>
                </c:pt>
                <c:pt idx="93">
                  <c:v>1060838449.886367</c:v>
                </c:pt>
                <c:pt idx="94">
                  <c:v>1062849455.235567</c:v>
                </c:pt>
                <c:pt idx="95">
                  <c:v>1065007846.044174</c:v>
                </c:pt>
                <c:pt idx="96">
                  <c:v>1065437992.7831171</c:v>
                </c:pt>
                <c:pt idx="97">
                  <c:v>1070087818.456776</c:v>
                </c:pt>
                <c:pt idx="98">
                  <c:v>1073131348.303519</c:v>
                </c:pt>
                <c:pt idx="99">
                  <c:v>1067825342.624105</c:v>
                </c:pt>
                <c:pt idx="100">
                  <c:v>1071802717.596016</c:v>
                </c:pt>
                <c:pt idx="101">
                  <c:v>1076100966.045815</c:v>
                </c:pt>
                <c:pt idx="102">
                  <c:v>1072547411.023154</c:v>
                </c:pt>
                <c:pt idx="103">
                  <c:v>1073785004.9988911</c:v>
                </c:pt>
                <c:pt idx="104">
                  <c:v>1075278978.0651481</c:v>
                </c:pt>
                <c:pt idx="105">
                  <c:v>1088038445.861701</c:v>
                </c:pt>
                <c:pt idx="106">
                  <c:v>1084763947.131958</c:v>
                </c:pt>
                <c:pt idx="107">
                  <c:v>1084852686.25246</c:v>
                </c:pt>
                <c:pt idx="108">
                  <c:v>1084039424.668483</c:v>
                </c:pt>
                <c:pt idx="109">
                  <c:v>1080888765.0375149</c:v>
                </c:pt>
                <c:pt idx="110">
                  <c:v>1094401241.068886</c:v>
                </c:pt>
                <c:pt idx="111">
                  <c:v>1091130525.0636859</c:v>
                </c:pt>
                <c:pt idx="112">
                  <c:v>1094853691.454891</c:v>
                </c:pt>
                <c:pt idx="113">
                  <c:v>1099194269.455554</c:v>
                </c:pt>
                <c:pt idx="114">
                  <c:v>1095069145.871314</c:v>
                </c:pt>
                <c:pt idx="115">
                  <c:v>1099326324.550282</c:v>
                </c:pt>
                <c:pt idx="116">
                  <c:v>1093199336.945298</c:v>
                </c:pt>
                <c:pt idx="117">
                  <c:v>1091579340.0477779</c:v>
                </c:pt>
                <c:pt idx="118">
                  <c:v>1085870424.971657</c:v>
                </c:pt>
                <c:pt idx="119">
                  <c:v>1090670556.694299</c:v>
                </c:pt>
                <c:pt idx="120">
                  <c:v>1093699495.4774029</c:v>
                </c:pt>
                <c:pt idx="121">
                  <c:v>1093699495</c:v>
                </c:pt>
                <c:pt idx="122">
                  <c:v>1097192070.160418</c:v>
                </c:pt>
                <c:pt idx="123">
                  <c:v>1102851539.202179</c:v>
                </c:pt>
                <c:pt idx="124">
                  <c:v>1101438647.964848</c:v>
                </c:pt>
                <c:pt idx="125">
                  <c:v>1122090634.966043</c:v>
                </c:pt>
                <c:pt idx="126">
                  <c:v>1140592812.6552191</c:v>
                </c:pt>
                <c:pt idx="127">
                  <c:v>1126551691.335079</c:v>
                </c:pt>
                <c:pt idx="128">
                  <c:v>1131467138.0203481</c:v>
                </c:pt>
                <c:pt idx="129">
                  <c:v>1133474714.9860611</c:v>
                </c:pt>
                <c:pt idx="130">
                  <c:v>1132105965.8110271</c:v>
                </c:pt>
                <c:pt idx="131">
                  <c:v>1126667101.6690111</c:v>
                </c:pt>
                <c:pt idx="132">
                  <c:v>1121330905.3632629</c:v>
                </c:pt>
                <c:pt idx="133">
                  <c:v>1133182815.506417</c:v>
                </c:pt>
                <c:pt idx="134">
                  <c:v>1135362968.5313859</c:v>
                </c:pt>
                <c:pt idx="135">
                  <c:v>1131376187.7088039</c:v>
                </c:pt>
                <c:pt idx="136">
                  <c:v>1127988891.9081781</c:v>
                </c:pt>
                <c:pt idx="137">
                  <c:v>1132553458.893414</c:v>
                </c:pt>
                <c:pt idx="138">
                  <c:v>1127971973.115226</c:v>
                </c:pt>
                <c:pt idx="139">
                  <c:v>1114198177.6867681</c:v>
                </c:pt>
                <c:pt idx="140">
                  <c:v>1113808951.638447</c:v>
                </c:pt>
                <c:pt idx="141">
                  <c:v>1111804874.876009</c:v>
                </c:pt>
                <c:pt idx="142">
                  <c:v>1100945345.220217</c:v>
                </c:pt>
                <c:pt idx="143">
                  <c:v>1099792829.785759</c:v>
                </c:pt>
                <c:pt idx="144">
                  <c:v>1103098687.915096</c:v>
                </c:pt>
                <c:pt idx="145">
                  <c:v>1109234552.9392669</c:v>
                </c:pt>
                <c:pt idx="146">
                  <c:v>1110718182.236326</c:v>
                </c:pt>
                <c:pt idx="147">
                  <c:v>1107881711.9099841</c:v>
                </c:pt>
                <c:pt idx="148">
                  <c:v>1112847553.1524601</c:v>
                </c:pt>
                <c:pt idx="149">
                  <c:v>1101690404.0628741</c:v>
                </c:pt>
                <c:pt idx="150">
                  <c:v>1102577691.3128381</c:v>
                </c:pt>
                <c:pt idx="151">
                  <c:v>1106535218.3536551</c:v>
                </c:pt>
                <c:pt idx="152">
                  <c:v>1112212021.2041211</c:v>
                </c:pt>
                <c:pt idx="153">
                  <c:v>1107973451.600297</c:v>
                </c:pt>
                <c:pt idx="154">
                  <c:v>1097197168.6896429</c:v>
                </c:pt>
                <c:pt idx="155">
                  <c:v>1066094833.646428</c:v>
                </c:pt>
                <c:pt idx="156">
                  <c:v>1056961074.295549</c:v>
                </c:pt>
                <c:pt idx="157">
                  <c:v>1054689981.223792</c:v>
                </c:pt>
                <c:pt idx="158">
                  <c:v>1059671131.718841</c:v>
                </c:pt>
                <c:pt idx="159">
                  <c:v>1066338534.362372</c:v>
                </c:pt>
                <c:pt idx="160">
                  <c:v>1062897497.177249</c:v>
                </c:pt>
                <c:pt idx="161">
                  <c:v>1066626898.518158</c:v>
                </c:pt>
                <c:pt idx="162">
                  <c:v>1065280513.8133169</c:v>
                </c:pt>
                <c:pt idx="163">
                  <c:v>1067677164.896806</c:v>
                </c:pt>
                <c:pt idx="164">
                  <c:v>1073050236.6609761</c:v>
                </c:pt>
                <c:pt idx="165">
                  <c:v>1080220084.7539799</c:v>
                </c:pt>
                <c:pt idx="166">
                  <c:v>1093152349.2966239</c:v>
                </c:pt>
                <c:pt idx="167">
                  <c:v>1093232869.44609</c:v>
                </c:pt>
                <c:pt idx="168">
                  <c:v>1092974405.55516</c:v>
                </c:pt>
                <c:pt idx="169">
                  <c:v>1081121074.818887</c:v>
                </c:pt>
                <c:pt idx="170">
                  <c:v>1088967314.465898</c:v>
                </c:pt>
                <c:pt idx="171">
                  <c:v>1098667101.6809249</c:v>
                </c:pt>
                <c:pt idx="172">
                  <c:v>1095665725.1685431</c:v>
                </c:pt>
                <c:pt idx="173">
                  <c:v>1096024252.7906499</c:v>
                </c:pt>
                <c:pt idx="174">
                  <c:v>1098350462.8257999</c:v>
                </c:pt>
                <c:pt idx="175">
                  <c:v>1099444420.760922</c:v>
                </c:pt>
                <c:pt idx="176">
                  <c:v>1099078623.999289</c:v>
                </c:pt>
                <c:pt idx="177">
                  <c:v>1097677002.3535891</c:v>
                </c:pt>
                <c:pt idx="178">
                  <c:v>1095736776.8043759</c:v>
                </c:pt>
                <c:pt idx="179">
                  <c:v>1078633786.273869</c:v>
                </c:pt>
                <c:pt idx="180">
                  <c:v>1077334803.057384</c:v>
                </c:pt>
                <c:pt idx="181">
                  <c:v>1084229286.4571781</c:v>
                </c:pt>
                <c:pt idx="182">
                  <c:v>1082084356.8342249</c:v>
                </c:pt>
                <c:pt idx="183">
                  <c:v>1089433659.1182151</c:v>
                </c:pt>
                <c:pt idx="184">
                  <c:v>1089433659</c:v>
                </c:pt>
                <c:pt idx="185">
                  <c:v>1069025638.477999</c:v>
                </c:pt>
                <c:pt idx="186">
                  <c:v>1080291564.642386</c:v>
                </c:pt>
                <c:pt idx="187">
                  <c:v>1074435210.3920419</c:v>
                </c:pt>
                <c:pt idx="188">
                  <c:v>1085225859.5982599</c:v>
                </c:pt>
                <c:pt idx="189">
                  <c:v>1099945673.359381</c:v>
                </c:pt>
                <c:pt idx="190">
                  <c:v>1105870849.417542</c:v>
                </c:pt>
                <c:pt idx="191">
                  <c:v>1116850025.8636119</c:v>
                </c:pt>
                <c:pt idx="192">
                  <c:v>1114227078.266592</c:v>
                </c:pt>
                <c:pt idx="193">
                  <c:v>1125742853.582432</c:v>
                </c:pt>
                <c:pt idx="194">
                  <c:v>1125313214.4556999</c:v>
                </c:pt>
                <c:pt idx="195">
                  <c:v>1096935586.98052</c:v>
                </c:pt>
                <c:pt idx="196">
                  <c:v>1080904985.7120881</c:v>
                </c:pt>
                <c:pt idx="197">
                  <c:v>1061705281.841841</c:v>
                </c:pt>
                <c:pt idx="198">
                  <c:v>1074114345.1022639</c:v>
                </c:pt>
                <c:pt idx="199">
                  <c:v>1056565342.158376</c:v>
                </c:pt>
                <c:pt idx="200">
                  <c:v>1061006140.37556</c:v>
                </c:pt>
                <c:pt idx="201">
                  <c:v>1048786447.735635</c:v>
                </c:pt>
                <c:pt idx="202">
                  <c:v>1004836217.726253</c:v>
                </c:pt>
                <c:pt idx="203">
                  <c:v>1012515008.287698</c:v>
                </c:pt>
                <c:pt idx="204">
                  <c:v>998090413.56176603</c:v>
                </c:pt>
                <c:pt idx="205">
                  <c:v>976547897.30525947</c:v>
                </c:pt>
                <c:pt idx="206">
                  <c:v>986515737.99774909</c:v>
                </c:pt>
                <c:pt idx="207">
                  <c:v>1002734782.262171</c:v>
                </c:pt>
                <c:pt idx="208">
                  <c:v>1001029450.192914</c:v>
                </c:pt>
                <c:pt idx="209">
                  <c:v>1002502462.111825</c:v>
                </c:pt>
                <c:pt idx="210">
                  <c:v>1000561966.8035361</c:v>
                </c:pt>
                <c:pt idx="211">
                  <c:v>1014773613.718549</c:v>
                </c:pt>
                <c:pt idx="212">
                  <c:v>1015920729.490716</c:v>
                </c:pt>
                <c:pt idx="213">
                  <c:v>1009112103.338567</c:v>
                </c:pt>
                <c:pt idx="214">
                  <c:v>1006374081.456199</c:v>
                </c:pt>
                <c:pt idx="215">
                  <c:v>1008879172.179574</c:v>
                </c:pt>
                <c:pt idx="216">
                  <c:v>1012567565.076956</c:v>
                </c:pt>
                <c:pt idx="217">
                  <c:v>1018906814.189059</c:v>
                </c:pt>
                <c:pt idx="218">
                  <c:v>1013554262.177928</c:v>
                </c:pt>
                <c:pt idx="219">
                  <c:v>1012252096.864664</c:v>
                </c:pt>
                <c:pt idx="220">
                  <c:v>1015480411.735289</c:v>
                </c:pt>
                <c:pt idx="221">
                  <c:v>1016136895.699478</c:v>
                </c:pt>
                <c:pt idx="222">
                  <c:v>1005204122.001281</c:v>
                </c:pt>
                <c:pt idx="223">
                  <c:v>1008571586.758164</c:v>
                </c:pt>
                <c:pt idx="224">
                  <c:v>1003753058.639379</c:v>
                </c:pt>
                <c:pt idx="225">
                  <c:v>1003377223.151067</c:v>
                </c:pt>
                <c:pt idx="226">
                  <c:v>1005080563.5607001</c:v>
                </c:pt>
                <c:pt idx="227">
                  <c:v>1004062686.544327</c:v>
                </c:pt>
                <c:pt idx="228">
                  <c:v>1009508638.019713</c:v>
                </c:pt>
                <c:pt idx="229">
                  <c:v>1017794766.80498</c:v>
                </c:pt>
                <c:pt idx="230">
                  <c:v>1018834525.82867</c:v>
                </c:pt>
                <c:pt idx="231">
                  <c:v>1024627459.048419</c:v>
                </c:pt>
                <c:pt idx="232">
                  <c:v>1021213589.302207</c:v>
                </c:pt>
                <c:pt idx="233">
                  <c:v>1020091104.466228</c:v>
                </c:pt>
                <c:pt idx="234">
                  <c:v>1022707389.515834</c:v>
                </c:pt>
                <c:pt idx="235">
                  <c:v>1023708858.244365</c:v>
                </c:pt>
                <c:pt idx="236">
                  <c:v>1019268585.8477499</c:v>
                </c:pt>
                <c:pt idx="237">
                  <c:v>1019365573.883044</c:v>
                </c:pt>
                <c:pt idx="238">
                  <c:v>1014638247.7183681</c:v>
                </c:pt>
                <c:pt idx="239">
                  <c:v>1007853119.328285</c:v>
                </c:pt>
                <c:pt idx="240">
                  <c:v>1007010203.267705</c:v>
                </c:pt>
                <c:pt idx="241">
                  <c:v>1008723136.394213</c:v>
                </c:pt>
                <c:pt idx="242">
                  <c:v>1008471820.751935</c:v>
                </c:pt>
                <c:pt idx="243">
                  <c:v>1017083225.364969</c:v>
                </c:pt>
                <c:pt idx="244">
                  <c:v>1027968966.604516</c:v>
                </c:pt>
                <c:pt idx="245">
                  <c:v>1031871072.1139081</c:v>
                </c:pt>
                <c:pt idx="246">
                  <c:v>1034467394.002623</c:v>
                </c:pt>
                <c:pt idx="247">
                  <c:v>1036098470.627547</c:v>
                </c:pt>
                <c:pt idx="248">
                  <c:v>1034092864.4424649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1430420</xdr:colOff>
      <xdr:row>4</xdr:row>
      <xdr:rowOff>0</xdr:rowOff>
    </xdr:from>
    <xdr:to>
      <xdr:col>11</xdr:col>
      <xdr:colOff>367631</xdr:colOff>
      <xdr:row>18</xdr:row>
      <xdr:rowOff>168108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H12" sqref="H12"/>
    </sheetView>
  </sheetViews>
  <sheetFormatPr defaultRowHeight="14.5" x14ac:dyDescent="0.35"/>
  <cols>
    <col min="1" max="5" width="19.6328125" customWidth="1"/>
  </cols>
  <sheetData>
    <row r="1" spans="1:5" x14ac:dyDescent="0.35">
      <c r="A1" s="1" t="s">
        <v>0</v>
      </c>
      <c r="B1" s="8" t="s">
        <v>30</v>
      </c>
      <c r="C1" s="8" t="s">
        <v>34</v>
      </c>
      <c r="D1" s="1" t="s">
        <v>41</v>
      </c>
      <c r="E1" s="1" t="s">
        <v>50</v>
      </c>
    </row>
    <row r="2" spans="1:5" x14ac:dyDescent="0.35">
      <c r="A2" s="9" t="s">
        <v>1</v>
      </c>
      <c r="B2" s="10">
        <v>1000000000</v>
      </c>
      <c r="C2" s="10">
        <v>1029626620</v>
      </c>
      <c r="D2" s="10">
        <v>1093699495</v>
      </c>
      <c r="E2" s="10">
        <v>1089433659</v>
      </c>
    </row>
    <row r="3" spans="1:5" x14ac:dyDescent="0.35">
      <c r="A3" s="9" t="s">
        <v>2</v>
      </c>
      <c r="B3" s="10">
        <v>1029626619.587041</v>
      </c>
      <c r="C3" s="10">
        <v>1093699495.4774029</v>
      </c>
      <c r="D3" s="10">
        <v>1089433659.1182151</v>
      </c>
      <c r="E3" s="10">
        <v>1034092864.4424649</v>
      </c>
    </row>
    <row r="4" spans="1:5" x14ac:dyDescent="0.35">
      <c r="A4" s="9" t="s">
        <v>3</v>
      </c>
      <c r="B4" s="22">
        <v>29626619.587040901</v>
      </c>
      <c r="C4" s="10">
        <v>64072875.477403402</v>
      </c>
      <c r="D4" s="10">
        <v>-4265835.8817849159</v>
      </c>
      <c r="E4" s="14">
        <v>-55340794.557535291</v>
      </c>
    </row>
    <row r="5" spans="1:5" x14ac:dyDescent="0.35">
      <c r="A5" s="9" t="s">
        <v>19</v>
      </c>
      <c r="B5" s="12">
        <v>2.9626619587040898E-2</v>
      </c>
      <c r="C5" s="21">
        <v>6.2229233620050901E-2</v>
      </c>
      <c r="D5" s="12">
        <v>-3.9003729098228399E-3</v>
      </c>
      <c r="E5" s="12">
        <v>-5.0797764600308999E-2</v>
      </c>
    </row>
    <row r="6" spans="1:5" x14ac:dyDescent="0.35">
      <c r="A6" s="9" t="s">
        <v>58</v>
      </c>
      <c r="B6" s="12">
        <f>(MAX(Daily_Returns!B2:B60)-Daily_Returns!B2)/Daily_Returns!B2</f>
        <v>3.4782744615484001E-2</v>
      </c>
      <c r="C6" s="21">
        <f>(MAX(Daily_Returns!B61:B122)-Daily_Returns!B60)/Daily_Returns!B60</f>
        <v>6.7694155956453311E-2</v>
      </c>
      <c r="D6" s="24">
        <f>(MAX(Daily_Returns!B123:B185)-Daily_Returns!B123)/Daily_Returns!B123</f>
        <v>4.2875870263814175E-2</v>
      </c>
      <c r="E6" s="12">
        <f>(MAX(Daily_Returns!B186:B250)-Daily_Returns!B186)/Daily_Returns!B186</f>
        <v>3.3328504477969347E-2</v>
      </c>
    </row>
    <row r="7" spans="1:5" x14ac:dyDescent="0.35">
      <c r="A7" s="9" t="s">
        <v>4</v>
      </c>
      <c r="B7" s="12">
        <v>-3.7174029125204601E-2</v>
      </c>
      <c r="C7" s="21">
        <v>-2.4018349498357301E-2</v>
      </c>
      <c r="D7" s="12">
        <v>-7.5314196686415494E-2</v>
      </c>
      <c r="E7" s="12">
        <v>-0.13253022730936501</v>
      </c>
    </row>
    <row r="8" spans="1:5" x14ac:dyDescent="0.35">
      <c r="A8" s="9" t="s">
        <v>5</v>
      </c>
      <c r="B8" s="12">
        <v>-7.2214369847003199E-3</v>
      </c>
      <c r="C8" s="12">
        <v>-1.26094932891288E-2</v>
      </c>
      <c r="D8" s="12">
        <v>-3.5667488148751703E-2</v>
      </c>
      <c r="E8" s="12">
        <v>-0.103618757105742</v>
      </c>
    </row>
    <row r="9" spans="1:5" x14ac:dyDescent="0.35">
      <c r="A9" s="9" t="s">
        <v>27</v>
      </c>
      <c r="B9" s="12">
        <v>0.4</v>
      </c>
      <c r="C9" s="12">
        <v>0.53846153846153799</v>
      </c>
      <c r="D9" s="12">
        <v>0.375</v>
      </c>
      <c r="E9" s="12">
        <v>0.35294117647058798</v>
      </c>
    </row>
    <row r="10" spans="1:5" x14ac:dyDescent="0.35">
      <c r="A10" s="9" t="s">
        <v>28</v>
      </c>
      <c r="B10" s="12">
        <f>COUNTIF(Trades_Log!H3:H12,"Take Profit")/ROWS(Trades_Log!A3:A12)</f>
        <v>0.1</v>
      </c>
      <c r="C10" s="12">
        <f>COUNTIF(Trades_Log!H14:H26,"Take Profit")/ROWS(Trades_Log!H14:H26)</f>
        <v>0.15384615384615385</v>
      </c>
      <c r="D10" s="12">
        <f>COUNTIF(Trades_Log!H28:H43,"Take Profit")/ROWS(Trades_Log!H28:H43)</f>
        <v>0.125</v>
      </c>
      <c r="E10" s="12">
        <f>COUNTIF(Trades_Log!H45:H59,"Take Profit")/ROWS(Trades_Log!H45:H59)</f>
        <v>6.6666666666666666E-2</v>
      </c>
    </row>
    <row r="11" spans="1:5" x14ac:dyDescent="0.35">
      <c r="A11" s="9" t="s">
        <v>29</v>
      </c>
      <c r="B11" s="12">
        <f>COUNTIF(Trades_Log!H3:H12,"Stop Loss")/ROWS(Trades_Log!A3:A12)</f>
        <v>0</v>
      </c>
      <c r="C11" s="12">
        <f>COUNTIF(Trades_Log!H14:H26,"Stop Loss")/ROWS(Trades_Log!H14:H26)</f>
        <v>7.6923076923076927E-2</v>
      </c>
      <c r="D11" s="12">
        <f>COUNTIF(Trades_Log!H28:H43,"Stop Loss")/ROWS(Trades_Log!H28:H43)</f>
        <v>0.125</v>
      </c>
      <c r="E11" s="12">
        <f>COUNTIF(Trades_Log!H45:H59,"Stop Loss")/ROWS(Trades_Log!H45:H59)</f>
        <v>0.46666666666666667</v>
      </c>
    </row>
  </sheetData>
  <conditionalFormatting sqref="B4:E4">
    <cfRule type="cellIs" dxfId="17" priority="1" operator="lessThan">
      <formula>0</formula>
    </cfRule>
  </conditionalFormatting>
  <pageMargins left="0.75" right="0.75" top="1" bottom="1" header="0.5" footer="0.5"/>
  <ignoredErrors>
    <ignoredError sqref="B6 D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opLeftCell="A179" zoomScale="95" zoomScaleNormal="95" workbookViewId="0">
      <selection activeCell="A186" sqref="A186:B250"/>
    </sheetView>
  </sheetViews>
  <sheetFormatPr defaultRowHeight="14.5" x14ac:dyDescent="0.35"/>
  <cols>
    <col min="1" max="1" width="20.453125" style="3" customWidth="1"/>
    <col min="2" max="2" width="20.453125" style="4" customWidth="1"/>
    <col min="3" max="3" width="9" customWidth="1"/>
    <col min="7" max="7" width="14.08984375" bestFit="1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44929</v>
      </c>
      <c r="B2" s="4">
        <v>1000000000</v>
      </c>
    </row>
    <row r="3" spans="1:2" x14ac:dyDescent="0.35">
      <c r="A3" s="3">
        <v>44930</v>
      </c>
      <c r="B3" s="4">
        <v>1000973822.914268</v>
      </c>
    </row>
    <row r="4" spans="1:2" x14ac:dyDescent="0.35">
      <c r="A4" s="3">
        <v>44931</v>
      </c>
      <c r="B4" s="4">
        <v>1004394330.456712</v>
      </c>
    </row>
    <row r="5" spans="1:2" x14ac:dyDescent="0.35">
      <c r="A5" s="3">
        <v>44932</v>
      </c>
      <c r="B5" s="4">
        <v>1001086148.368798</v>
      </c>
    </row>
    <row r="6" spans="1:2" x14ac:dyDescent="0.35">
      <c r="A6" s="3">
        <v>44935</v>
      </c>
      <c r="B6" s="4">
        <v>1000165827.501593</v>
      </c>
    </row>
    <row r="7" spans="1:2" x14ac:dyDescent="0.35">
      <c r="A7" s="3">
        <v>44936</v>
      </c>
      <c r="B7" s="4">
        <v>999159974.31426537</v>
      </c>
    </row>
    <row r="8" spans="1:2" x14ac:dyDescent="0.35">
      <c r="A8" s="3">
        <v>44937</v>
      </c>
      <c r="B8" s="4">
        <v>999317361.38740134</v>
      </c>
    </row>
    <row r="9" spans="1:2" x14ac:dyDescent="0.35">
      <c r="A9" s="3">
        <v>44938</v>
      </c>
      <c r="B9" s="4">
        <v>997733625.90388513</v>
      </c>
    </row>
    <row r="10" spans="1:2" x14ac:dyDescent="0.35">
      <c r="A10" s="3">
        <v>44939</v>
      </c>
      <c r="B10" s="4">
        <v>1003188373.212775</v>
      </c>
    </row>
    <row r="11" spans="1:2" x14ac:dyDescent="0.35">
      <c r="A11" s="3">
        <v>44942</v>
      </c>
      <c r="B11" s="4">
        <v>1006909241.551874</v>
      </c>
    </row>
    <row r="12" spans="1:2" x14ac:dyDescent="0.35">
      <c r="A12" s="3">
        <v>44943</v>
      </c>
      <c r="B12" s="4">
        <v>1017893446.224237</v>
      </c>
    </row>
    <row r="13" spans="1:2" x14ac:dyDescent="0.35">
      <c r="A13" s="3">
        <v>44944</v>
      </c>
      <c r="B13" s="4">
        <v>1025716032.505289</v>
      </c>
    </row>
    <row r="14" spans="1:2" x14ac:dyDescent="0.35">
      <c r="A14" s="3">
        <v>44945</v>
      </c>
      <c r="B14" s="4">
        <v>1031109040.518808</v>
      </c>
    </row>
    <row r="15" spans="1:2" x14ac:dyDescent="0.35">
      <c r="A15" s="3">
        <v>44953</v>
      </c>
      <c r="B15" s="4">
        <v>1023680739.9325989</v>
      </c>
    </row>
    <row r="16" spans="1:2" x14ac:dyDescent="0.35">
      <c r="A16" s="3">
        <v>44956</v>
      </c>
      <c r="B16" s="4">
        <v>1026498363.589599</v>
      </c>
    </row>
    <row r="17" spans="1:7" x14ac:dyDescent="0.35">
      <c r="A17" s="3">
        <v>44957</v>
      </c>
      <c r="B17" s="4">
        <v>1015119970.722989</v>
      </c>
    </row>
    <row r="18" spans="1:7" x14ac:dyDescent="0.35">
      <c r="A18" s="3">
        <v>44958</v>
      </c>
      <c r="B18" s="4">
        <v>999552696.54337728</v>
      </c>
    </row>
    <row r="19" spans="1:7" x14ac:dyDescent="0.35">
      <c r="A19" s="3">
        <v>44959</v>
      </c>
      <c r="B19" s="4">
        <v>1000412586.0033</v>
      </c>
    </row>
    <row r="20" spans="1:7" x14ac:dyDescent="0.35">
      <c r="A20" s="3">
        <v>44960</v>
      </c>
      <c r="B20" s="4">
        <v>994968253.61605799</v>
      </c>
    </row>
    <row r="21" spans="1:7" x14ac:dyDescent="0.35">
      <c r="A21" s="3">
        <v>44963</v>
      </c>
      <c r="B21" s="4">
        <v>1001597377.842304</v>
      </c>
    </row>
    <row r="22" spans="1:7" x14ac:dyDescent="0.35">
      <c r="A22" s="3">
        <v>44964</v>
      </c>
      <c r="B22" s="4">
        <v>992778563.01529968</v>
      </c>
    </row>
    <row r="23" spans="1:7" x14ac:dyDescent="0.35">
      <c r="A23" s="3">
        <v>44965</v>
      </c>
      <c r="B23" s="4">
        <v>999326862.90780795</v>
      </c>
    </row>
    <row r="24" spans="1:7" x14ac:dyDescent="0.35">
      <c r="A24" s="3">
        <v>44966</v>
      </c>
      <c r="B24" s="4">
        <v>999458541.85646176</v>
      </c>
    </row>
    <row r="25" spans="1:7" x14ac:dyDescent="0.35">
      <c r="A25" s="3">
        <v>44967</v>
      </c>
      <c r="B25" s="4">
        <v>997900273.99135935</v>
      </c>
    </row>
    <row r="26" spans="1:7" x14ac:dyDescent="0.35">
      <c r="A26" s="3">
        <v>44970</v>
      </c>
      <c r="B26" s="4">
        <v>998990896.01218307</v>
      </c>
    </row>
    <row r="27" spans="1:7" x14ac:dyDescent="0.35">
      <c r="A27" s="3">
        <v>44971</v>
      </c>
      <c r="B27" s="4">
        <v>994975296.0010246</v>
      </c>
      <c r="G27" s="13"/>
    </row>
    <row r="28" spans="1:7" x14ac:dyDescent="0.35">
      <c r="A28" s="3">
        <v>44972</v>
      </c>
      <c r="B28" s="4">
        <v>1011077127.505161</v>
      </c>
    </row>
    <row r="29" spans="1:7" x14ac:dyDescent="0.35">
      <c r="A29" s="3">
        <v>44973</v>
      </c>
      <c r="B29" s="4">
        <v>1015096852.28341</v>
      </c>
    </row>
    <row r="30" spans="1:7" x14ac:dyDescent="0.35">
      <c r="A30" s="3">
        <v>44974</v>
      </c>
      <c r="B30" s="4">
        <v>1016230702.358995</v>
      </c>
    </row>
    <row r="31" spans="1:7" x14ac:dyDescent="0.35">
      <c r="A31" s="3">
        <v>44977</v>
      </c>
      <c r="B31" s="4">
        <v>1032815166.527052</v>
      </c>
    </row>
    <row r="32" spans="1:7" x14ac:dyDescent="0.35">
      <c r="A32" s="3">
        <v>44978</v>
      </c>
      <c r="B32" s="4">
        <v>1028295926.5113339</v>
      </c>
    </row>
    <row r="33" spans="1:2" x14ac:dyDescent="0.35">
      <c r="A33" s="3">
        <v>44979</v>
      </c>
      <c r="B33" s="4">
        <v>1009054320.084968</v>
      </c>
    </row>
    <row r="34" spans="1:2" x14ac:dyDescent="0.35">
      <c r="A34" s="3">
        <v>44980</v>
      </c>
      <c r="B34" s="4">
        <v>1017033825.598184</v>
      </c>
    </row>
    <row r="35" spans="1:2" x14ac:dyDescent="0.35">
      <c r="A35" s="3">
        <v>44981</v>
      </c>
      <c r="B35" s="4">
        <v>1004920070.618384</v>
      </c>
    </row>
    <row r="36" spans="1:2" x14ac:dyDescent="0.35">
      <c r="A36" s="3">
        <v>44984</v>
      </c>
      <c r="B36" s="4">
        <v>1000733220.662663</v>
      </c>
    </row>
    <row r="37" spans="1:2" x14ac:dyDescent="0.35">
      <c r="A37" s="3">
        <v>44985</v>
      </c>
      <c r="B37" s="4">
        <v>1000563906.109777</v>
      </c>
    </row>
    <row r="38" spans="1:2" x14ac:dyDescent="0.35">
      <c r="A38" s="3">
        <v>44986</v>
      </c>
      <c r="B38" s="4">
        <v>1014171216.799101</v>
      </c>
    </row>
    <row r="39" spans="1:2" x14ac:dyDescent="0.35">
      <c r="A39" s="3">
        <v>44987</v>
      </c>
      <c r="B39" s="4">
        <v>1017226001.360552</v>
      </c>
    </row>
    <row r="40" spans="1:2" x14ac:dyDescent="0.35">
      <c r="A40" s="3">
        <v>44988</v>
      </c>
      <c r="B40" s="4">
        <v>1011097417.822125</v>
      </c>
    </row>
    <row r="41" spans="1:2" x14ac:dyDescent="0.35">
      <c r="A41" s="3">
        <v>44991</v>
      </c>
      <c r="B41" s="4">
        <v>1009172641.877545</v>
      </c>
    </row>
    <row r="42" spans="1:2" x14ac:dyDescent="0.35">
      <c r="A42" s="3">
        <v>44992</v>
      </c>
      <c r="B42" s="4">
        <v>1016312015.210878</v>
      </c>
    </row>
    <row r="43" spans="1:2" x14ac:dyDescent="0.35">
      <c r="A43" s="3">
        <v>44993</v>
      </c>
      <c r="B43" s="4">
        <v>1018326595.566306</v>
      </c>
    </row>
    <row r="44" spans="1:2" x14ac:dyDescent="0.35">
      <c r="A44" s="3">
        <v>44994</v>
      </c>
      <c r="B44" s="4">
        <v>1018932405.034526</v>
      </c>
    </row>
    <row r="45" spans="1:2" x14ac:dyDescent="0.35">
      <c r="A45" s="3">
        <v>44995</v>
      </c>
      <c r="B45" s="4">
        <v>1019414797.453542</v>
      </c>
    </row>
    <row r="46" spans="1:2" x14ac:dyDescent="0.35">
      <c r="A46" s="3">
        <v>44998</v>
      </c>
      <c r="B46" s="4">
        <v>1014799924.035305</v>
      </c>
    </row>
    <row r="47" spans="1:2" x14ac:dyDescent="0.35">
      <c r="A47" s="3">
        <v>44999</v>
      </c>
      <c r="B47" s="4">
        <v>1006475240.471162</v>
      </c>
    </row>
    <row r="48" spans="1:2" x14ac:dyDescent="0.35">
      <c r="A48" s="3">
        <v>45000</v>
      </c>
      <c r="B48" s="4">
        <v>1024310572.438532</v>
      </c>
    </row>
    <row r="49" spans="1:2" x14ac:dyDescent="0.35">
      <c r="A49" s="3">
        <v>45001</v>
      </c>
      <c r="B49" s="4">
        <v>1025193556.730018</v>
      </c>
    </row>
    <row r="50" spans="1:2" x14ac:dyDescent="0.35">
      <c r="A50" s="3">
        <v>45002</v>
      </c>
      <c r="B50" s="4">
        <v>1028731993.735415</v>
      </c>
    </row>
    <row r="51" spans="1:2" x14ac:dyDescent="0.35">
      <c r="A51" s="3">
        <v>45005</v>
      </c>
      <c r="B51" s="4">
        <v>1027527472.903139</v>
      </c>
    </row>
    <row r="52" spans="1:2" x14ac:dyDescent="0.35">
      <c r="A52" s="3">
        <v>45006</v>
      </c>
      <c r="B52" s="4">
        <v>1031452904.336689</v>
      </c>
    </row>
    <row r="53" spans="1:2" x14ac:dyDescent="0.35">
      <c r="A53" s="3">
        <v>45007</v>
      </c>
      <c r="B53" s="4">
        <v>1033757692.34745</v>
      </c>
    </row>
    <row r="54" spans="1:2" x14ac:dyDescent="0.35">
      <c r="A54" s="3">
        <v>45008</v>
      </c>
      <c r="B54" s="4">
        <v>1034782744.615484</v>
      </c>
    </row>
    <row r="55" spans="1:2" x14ac:dyDescent="0.35">
      <c r="A55" s="3">
        <v>45009</v>
      </c>
      <c r="B55" s="4">
        <v>1026860869.692433</v>
      </c>
    </row>
    <row r="56" spans="1:2" x14ac:dyDescent="0.35">
      <c r="A56" s="3">
        <v>45012</v>
      </c>
      <c r="B56" s="4">
        <v>1029514290.5803</v>
      </c>
    </row>
    <row r="57" spans="1:2" x14ac:dyDescent="0.35">
      <c r="A57" s="3">
        <v>45013</v>
      </c>
      <c r="B57" s="4">
        <v>1030076609.189662</v>
      </c>
    </row>
    <row r="58" spans="1:2" x14ac:dyDescent="0.35">
      <c r="A58" s="3">
        <v>45014</v>
      </c>
      <c r="B58" s="4">
        <v>1029211930.9584709</v>
      </c>
    </row>
    <row r="59" spans="1:2" x14ac:dyDescent="0.35">
      <c r="A59" s="3">
        <v>45015</v>
      </c>
      <c r="B59" s="4">
        <v>1030080376.896564</v>
      </c>
    </row>
    <row r="60" spans="1:2" x14ac:dyDescent="0.35">
      <c r="A60" s="3">
        <v>45016</v>
      </c>
      <c r="B60" s="4">
        <v>1029626619.587041</v>
      </c>
    </row>
    <row r="61" spans="1:2" x14ac:dyDescent="0.35">
      <c r="A61" s="3">
        <v>45019</v>
      </c>
      <c r="B61" s="4">
        <v>1029626620</v>
      </c>
    </row>
    <row r="62" spans="1:2" x14ac:dyDescent="0.35">
      <c r="A62" s="3">
        <v>45020</v>
      </c>
      <c r="B62" s="4">
        <v>1028716220.717324</v>
      </c>
    </row>
    <row r="63" spans="1:2" x14ac:dyDescent="0.35">
      <c r="A63" s="3">
        <v>45021</v>
      </c>
      <c r="B63" s="4">
        <v>1039301963.148348</v>
      </c>
    </row>
    <row r="64" spans="1:2" x14ac:dyDescent="0.35">
      <c r="A64" s="3">
        <v>45022</v>
      </c>
      <c r="B64" s="4">
        <v>1039717747.9082201</v>
      </c>
    </row>
    <row r="65" spans="1:2" x14ac:dyDescent="0.35">
      <c r="A65" s="3">
        <v>45023</v>
      </c>
      <c r="B65" s="4">
        <v>1036583908.252556</v>
      </c>
    </row>
    <row r="66" spans="1:2" x14ac:dyDescent="0.35">
      <c r="A66" s="3">
        <v>45026</v>
      </c>
      <c r="B66" s="4">
        <v>1027893417.817468</v>
      </c>
    </row>
    <row r="67" spans="1:2" x14ac:dyDescent="0.35">
      <c r="A67" s="3">
        <v>45027</v>
      </c>
      <c r="B67" s="4">
        <v>1017571435.565698</v>
      </c>
    </row>
    <row r="68" spans="1:2" x14ac:dyDescent="0.35">
      <c r="A68" s="3">
        <v>45028</v>
      </c>
      <c r="B68" s="4">
        <v>1016643550.044802</v>
      </c>
    </row>
    <row r="69" spans="1:2" x14ac:dyDescent="0.35">
      <c r="A69" s="3">
        <v>45029</v>
      </c>
      <c r="B69" s="4">
        <v>1026511952.643079</v>
      </c>
    </row>
    <row r="70" spans="1:2" x14ac:dyDescent="0.35">
      <c r="A70" s="3">
        <v>45030</v>
      </c>
      <c r="B70" s="4">
        <v>1034933895.888992</v>
      </c>
    </row>
    <row r="71" spans="1:2" x14ac:dyDescent="0.35">
      <c r="A71" s="3">
        <v>45033</v>
      </c>
      <c r="B71" s="4">
        <v>1036718360.1138361</v>
      </c>
    </row>
    <row r="72" spans="1:2" x14ac:dyDescent="0.35">
      <c r="A72" s="3">
        <v>45034</v>
      </c>
      <c r="B72" s="4">
        <v>1032871566.1840971</v>
      </c>
    </row>
    <row r="73" spans="1:2" x14ac:dyDescent="0.35">
      <c r="A73" s="3">
        <v>45035</v>
      </c>
      <c r="B73" s="4">
        <v>1034507665.452234</v>
      </c>
    </row>
    <row r="74" spans="1:2" x14ac:dyDescent="0.35">
      <c r="A74" s="3">
        <v>45036</v>
      </c>
      <c r="B74" s="4">
        <v>1042325781.745681</v>
      </c>
    </row>
    <row r="75" spans="1:2" x14ac:dyDescent="0.35">
      <c r="A75" s="3">
        <v>45037</v>
      </c>
      <c r="B75" s="4">
        <v>1042093661.9639291</v>
      </c>
    </row>
    <row r="76" spans="1:2" x14ac:dyDescent="0.35">
      <c r="A76" s="3">
        <v>45040</v>
      </c>
      <c r="B76" s="4">
        <v>1040170704.7667511</v>
      </c>
    </row>
    <row r="77" spans="1:2" x14ac:dyDescent="0.35">
      <c r="A77" s="3">
        <v>45041</v>
      </c>
      <c r="B77" s="4">
        <v>1027258811.886111</v>
      </c>
    </row>
    <row r="78" spans="1:2" x14ac:dyDescent="0.35">
      <c r="A78" s="3">
        <v>45042</v>
      </c>
      <c r="B78" s="4">
        <v>1027592299.868824</v>
      </c>
    </row>
    <row r="79" spans="1:2" x14ac:dyDescent="0.35">
      <c r="A79" s="3">
        <v>45043</v>
      </c>
      <c r="B79" s="4">
        <v>1025887503.436056</v>
      </c>
    </row>
    <row r="80" spans="1:2" x14ac:dyDescent="0.35">
      <c r="A80" s="3">
        <v>45044</v>
      </c>
      <c r="B80" s="4">
        <v>1028619575.609387</v>
      </c>
    </row>
    <row r="81" spans="1:2" x14ac:dyDescent="0.35">
      <c r="A81" s="3">
        <v>45050</v>
      </c>
      <c r="B81" s="4">
        <v>1024422611.622594</v>
      </c>
    </row>
    <row r="82" spans="1:2" x14ac:dyDescent="0.35">
      <c r="A82" s="3">
        <v>45051</v>
      </c>
      <c r="B82" s="4">
        <v>1017290836.828564</v>
      </c>
    </row>
    <row r="83" spans="1:2" x14ac:dyDescent="0.35">
      <c r="A83" s="3">
        <v>45054</v>
      </c>
      <c r="B83" s="4">
        <v>1022450759.79712</v>
      </c>
    </row>
    <row r="84" spans="1:2" x14ac:dyDescent="0.35">
      <c r="A84" s="3">
        <v>45055</v>
      </c>
      <c r="B84" s="4">
        <v>1024926215.521184</v>
      </c>
    </row>
    <row r="85" spans="1:2" x14ac:dyDescent="0.35">
      <c r="A85" s="3">
        <v>45056</v>
      </c>
      <c r="B85" s="4">
        <v>1044939003.5214109</v>
      </c>
    </row>
    <row r="86" spans="1:2" x14ac:dyDescent="0.35">
      <c r="A86" s="3">
        <v>45057</v>
      </c>
      <c r="B86" s="4">
        <v>1054391290.382665</v>
      </c>
    </row>
    <row r="87" spans="1:2" x14ac:dyDescent="0.35">
      <c r="A87" s="3">
        <v>45058</v>
      </c>
      <c r="B87" s="4">
        <v>1052956840.898266</v>
      </c>
    </row>
    <row r="88" spans="1:2" x14ac:dyDescent="0.35">
      <c r="A88" s="3">
        <v>45061</v>
      </c>
      <c r="B88" s="4">
        <v>1044810805.958419</v>
      </c>
    </row>
    <row r="89" spans="1:2" x14ac:dyDescent="0.35">
      <c r="A89" s="3">
        <v>45062</v>
      </c>
      <c r="B89" s="4">
        <v>1041832901.700966</v>
      </c>
    </row>
    <row r="90" spans="1:2" x14ac:dyDescent="0.35">
      <c r="A90" s="3">
        <v>45063</v>
      </c>
      <c r="B90" s="4">
        <v>1030946074.261353</v>
      </c>
    </row>
    <row r="91" spans="1:2" x14ac:dyDescent="0.35">
      <c r="A91" s="3">
        <v>45064</v>
      </c>
      <c r="B91" s="4">
        <v>1040990356.528988</v>
      </c>
    </row>
    <row r="92" spans="1:2" x14ac:dyDescent="0.35">
      <c r="A92" s="3">
        <v>45065</v>
      </c>
      <c r="B92" s="4">
        <v>1054992720.47531</v>
      </c>
    </row>
    <row r="93" spans="1:2" x14ac:dyDescent="0.35">
      <c r="A93" s="3">
        <v>45068</v>
      </c>
      <c r="B93" s="4">
        <v>1056333097.936895</v>
      </c>
    </row>
    <row r="94" spans="1:2" x14ac:dyDescent="0.35">
      <c r="A94" s="3">
        <v>45069</v>
      </c>
      <c r="B94" s="4">
        <v>1060959853.6332999</v>
      </c>
    </row>
    <row r="95" spans="1:2" x14ac:dyDescent="0.35">
      <c r="A95" s="3">
        <v>45070</v>
      </c>
      <c r="B95" s="4">
        <v>1060838449.886367</v>
      </c>
    </row>
    <row r="96" spans="1:2" x14ac:dyDescent="0.35">
      <c r="A96" s="3">
        <v>45071</v>
      </c>
      <c r="B96" s="4">
        <v>1062849455.235567</v>
      </c>
    </row>
    <row r="97" spans="1:2" x14ac:dyDescent="0.35">
      <c r="A97" s="3">
        <v>45072</v>
      </c>
      <c r="B97" s="4">
        <v>1065007846.044174</v>
      </c>
    </row>
    <row r="98" spans="1:2" x14ac:dyDescent="0.35">
      <c r="A98" s="3">
        <v>45075</v>
      </c>
      <c r="B98" s="4">
        <v>1065437992.7831171</v>
      </c>
    </row>
    <row r="99" spans="1:2" x14ac:dyDescent="0.35">
      <c r="A99" s="3">
        <v>45076</v>
      </c>
      <c r="B99" s="4">
        <v>1070087818.456776</v>
      </c>
    </row>
    <row r="100" spans="1:2" x14ac:dyDescent="0.35">
      <c r="A100" s="3">
        <v>45077</v>
      </c>
      <c r="B100" s="4">
        <v>1073131348.303519</v>
      </c>
    </row>
    <row r="101" spans="1:2" x14ac:dyDescent="0.35">
      <c r="A101" s="3">
        <v>45078</v>
      </c>
      <c r="B101" s="4">
        <v>1067825342.624105</v>
      </c>
    </row>
    <row r="102" spans="1:2" x14ac:dyDescent="0.35">
      <c r="A102" s="3">
        <v>45079</v>
      </c>
      <c r="B102" s="4">
        <v>1071802717.596016</v>
      </c>
    </row>
    <row r="103" spans="1:2" x14ac:dyDescent="0.35">
      <c r="A103" s="3">
        <v>45082</v>
      </c>
      <c r="B103" s="4">
        <v>1076100966.045815</v>
      </c>
    </row>
    <row r="104" spans="1:2" x14ac:dyDescent="0.35">
      <c r="A104" s="3">
        <v>45083</v>
      </c>
      <c r="B104" s="4">
        <v>1072547411.023154</v>
      </c>
    </row>
    <row r="105" spans="1:2" x14ac:dyDescent="0.35">
      <c r="A105" s="3">
        <v>45084</v>
      </c>
      <c r="B105" s="4">
        <v>1073785004.9988911</v>
      </c>
    </row>
    <row r="106" spans="1:2" x14ac:dyDescent="0.35">
      <c r="A106" s="3">
        <v>45085</v>
      </c>
      <c r="B106" s="4">
        <v>1075278978.0651481</v>
      </c>
    </row>
    <row r="107" spans="1:2" x14ac:dyDescent="0.35">
      <c r="A107" s="3">
        <v>45086</v>
      </c>
      <c r="B107" s="4">
        <v>1088038445.861701</v>
      </c>
    </row>
    <row r="108" spans="1:2" x14ac:dyDescent="0.35">
      <c r="A108" s="3">
        <v>45089</v>
      </c>
      <c r="B108" s="4">
        <v>1084763947.131958</v>
      </c>
    </row>
    <row r="109" spans="1:2" x14ac:dyDescent="0.35">
      <c r="A109" s="3">
        <v>45090</v>
      </c>
      <c r="B109" s="4">
        <v>1084852686.25246</v>
      </c>
    </row>
    <row r="110" spans="1:2" x14ac:dyDescent="0.35">
      <c r="A110" s="3">
        <v>45091</v>
      </c>
      <c r="B110" s="4">
        <v>1084039424.668483</v>
      </c>
    </row>
    <row r="111" spans="1:2" x14ac:dyDescent="0.35">
      <c r="A111" s="3">
        <v>45092</v>
      </c>
      <c r="B111" s="4">
        <v>1080888765.0375149</v>
      </c>
    </row>
    <row r="112" spans="1:2" x14ac:dyDescent="0.35">
      <c r="A112" s="3">
        <v>45093</v>
      </c>
      <c r="B112" s="4">
        <v>1094401241.068886</v>
      </c>
    </row>
    <row r="113" spans="1:2" x14ac:dyDescent="0.35">
      <c r="A113" s="3">
        <v>45096</v>
      </c>
      <c r="B113" s="4">
        <v>1091130525.0636859</v>
      </c>
    </row>
    <row r="114" spans="1:2" x14ac:dyDescent="0.35">
      <c r="A114" s="3">
        <v>45097</v>
      </c>
      <c r="B114" s="4">
        <v>1094853691.454891</v>
      </c>
    </row>
    <row r="115" spans="1:2" x14ac:dyDescent="0.35">
      <c r="A115" s="3">
        <v>45098</v>
      </c>
      <c r="B115" s="4">
        <v>1099194269.455554</v>
      </c>
    </row>
    <row r="116" spans="1:2" x14ac:dyDescent="0.35">
      <c r="A116" s="3">
        <v>45099</v>
      </c>
      <c r="B116" s="4">
        <v>1095069145.871314</v>
      </c>
    </row>
    <row r="117" spans="1:2" x14ac:dyDescent="0.35">
      <c r="A117" s="3">
        <v>45100</v>
      </c>
      <c r="B117" s="4">
        <v>1099326324.550282</v>
      </c>
    </row>
    <row r="118" spans="1:2" x14ac:dyDescent="0.35">
      <c r="A118" s="3">
        <v>45103</v>
      </c>
      <c r="B118" s="4">
        <v>1093199336.945298</v>
      </c>
    </row>
    <row r="119" spans="1:2" x14ac:dyDescent="0.35">
      <c r="A119" s="3">
        <v>45104</v>
      </c>
      <c r="B119" s="4">
        <v>1091579340.0477779</v>
      </c>
    </row>
    <row r="120" spans="1:2" x14ac:dyDescent="0.35">
      <c r="A120" s="3">
        <v>45105</v>
      </c>
      <c r="B120" s="4">
        <v>1085870424.971657</v>
      </c>
    </row>
    <row r="121" spans="1:2" x14ac:dyDescent="0.35">
      <c r="A121" s="3">
        <v>45106</v>
      </c>
      <c r="B121" s="4">
        <v>1090670556.694299</v>
      </c>
    </row>
    <row r="122" spans="1:2" x14ac:dyDescent="0.35">
      <c r="A122" s="3">
        <v>45107</v>
      </c>
      <c r="B122" s="4">
        <v>1093699495.4774029</v>
      </c>
    </row>
    <row r="123" spans="1:2" x14ac:dyDescent="0.35">
      <c r="A123" s="3">
        <v>45110</v>
      </c>
      <c r="B123" s="4">
        <v>1093699495</v>
      </c>
    </row>
    <row r="124" spans="1:2" x14ac:dyDescent="0.35">
      <c r="A124" s="3">
        <v>45111</v>
      </c>
      <c r="B124" s="4">
        <v>1097192070.160418</v>
      </c>
    </row>
    <row r="125" spans="1:2" x14ac:dyDescent="0.35">
      <c r="A125" s="3">
        <v>45112</v>
      </c>
      <c r="B125" s="4">
        <v>1102851539.202179</v>
      </c>
    </row>
    <row r="126" spans="1:2" x14ac:dyDescent="0.35">
      <c r="A126" s="3">
        <v>45113</v>
      </c>
      <c r="B126" s="4">
        <v>1101438647.964848</v>
      </c>
    </row>
    <row r="127" spans="1:2" x14ac:dyDescent="0.35">
      <c r="A127" s="3">
        <v>45114</v>
      </c>
      <c r="B127" s="4">
        <v>1122090634.966043</v>
      </c>
    </row>
    <row r="128" spans="1:2" x14ac:dyDescent="0.35">
      <c r="A128" s="15">
        <v>45117</v>
      </c>
      <c r="B128" s="16">
        <v>1140592812.6552191</v>
      </c>
    </row>
    <row r="129" spans="1:2" x14ac:dyDescent="0.35">
      <c r="A129" s="3">
        <v>45118</v>
      </c>
      <c r="B129" s="4">
        <v>1126551691.335079</v>
      </c>
    </row>
    <row r="130" spans="1:2" x14ac:dyDescent="0.35">
      <c r="A130" s="3">
        <v>45119</v>
      </c>
      <c r="B130" s="4">
        <v>1131467138.0203481</v>
      </c>
    </row>
    <row r="131" spans="1:2" x14ac:dyDescent="0.35">
      <c r="A131" s="3">
        <v>45120</v>
      </c>
      <c r="B131" s="4">
        <v>1133474714.9860611</v>
      </c>
    </row>
    <row r="132" spans="1:2" x14ac:dyDescent="0.35">
      <c r="A132" s="3">
        <v>45121</v>
      </c>
      <c r="B132" s="4">
        <v>1132105965.8110271</v>
      </c>
    </row>
    <row r="133" spans="1:2" x14ac:dyDescent="0.35">
      <c r="A133" s="15">
        <v>45124</v>
      </c>
      <c r="B133" s="16">
        <v>1126667101.6690111</v>
      </c>
    </row>
    <row r="134" spans="1:2" x14ac:dyDescent="0.35">
      <c r="A134" s="3">
        <v>45125</v>
      </c>
      <c r="B134" s="4">
        <v>1121330905.3632629</v>
      </c>
    </row>
    <row r="135" spans="1:2" x14ac:dyDescent="0.35">
      <c r="A135" s="3">
        <v>45126</v>
      </c>
      <c r="B135" s="4">
        <v>1133182815.506417</v>
      </c>
    </row>
    <row r="136" spans="1:2" x14ac:dyDescent="0.35">
      <c r="A136" s="3">
        <v>45127</v>
      </c>
      <c r="B136" s="4">
        <v>1135362968.5313859</v>
      </c>
    </row>
    <row r="137" spans="1:2" x14ac:dyDescent="0.35">
      <c r="A137" s="3">
        <v>45128</v>
      </c>
      <c r="B137" s="4">
        <v>1131376187.7088039</v>
      </c>
    </row>
    <row r="138" spans="1:2" x14ac:dyDescent="0.35">
      <c r="A138" s="3">
        <v>45131</v>
      </c>
      <c r="B138" s="4">
        <v>1127988891.9081781</v>
      </c>
    </row>
    <row r="139" spans="1:2" x14ac:dyDescent="0.35">
      <c r="A139" s="3">
        <v>45132</v>
      </c>
      <c r="B139" s="4">
        <v>1132553458.893414</v>
      </c>
    </row>
    <row r="140" spans="1:2" x14ac:dyDescent="0.35">
      <c r="A140" s="3">
        <v>45133</v>
      </c>
      <c r="B140" s="4">
        <v>1127971973.115226</v>
      </c>
    </row>
    <row r="141" spans="1:2" x14ac:dyDescent="0.35">
      <c r="A141" s="3">
        <v>45134</v>
      </c>
      <c r="B141" s="4">
        <v>1114198177.6867681</v>
      </c>
    </row>
    <row r="142" spans="1:2" x14ac:dyDescent="0.35">
      <c r="A142" s="3">
        <v>45135</v>
      </c>
      <c r="B142" s="4">
        <v>1113808951.638447</v>
      </c>
    </row>
    <row r="143" spans="1:2" x14ac:dyDescent="0.35">
      <c r="A143" s="3">
        <v>45138</v>
      </c>
      <c r="B143" s="4">
        <v>1111804874.876009</v>
      </c>
    </row>
    <row r="144" spans="1:2" x14ac:dyDescent="0.35">
      <c r="A144" s="3">
        <v>45139</v>
      </c>
      <c r="B144" s="4">
        <v>1100945345.220217</v>
      </c>
    </row>
    <row r="145" spans="1:2" x14ac:dyDescent="0.35">
      <c r="A145" s="3">
        <v>45140</v>
      </c>
      <c r="B145" s="4">
        <v>1099792829.785759</v>
      </c>
    </row>
    <row r="146" spans="1:2" x14ac:dyDescent="0.35">
      <c r="A146" s="3">
        <v>45141</v>
      </c>
      <c r="B146" s="4">
        <v>1103098687.915096</v>
      </c>
    </row>
    <row r="147" spans="1:2" x14ac:dyDescent="0.35">
      <c r="A147" s="3">
        <v>45142</v>
      </c>
      <c r="B147" s="4">
        <v>1109234552.9392669</v>
      </c>
    </row>
    <row r="148" spans="1:2" x14ac:dyDescent="0.35">
      <c r="A148" s="3">
        <v>45145</v>
      </c>
      <c r="B148" s="4">
        <v>1110718182.236326</v>
      </c>
    </row>
    <row r="149" spans="1:2" x14ac:dyDescent="0.35">
      <c r="A149" s="3">
        <v>45146</v>
      </c>
      <c r="B149" s="4">
        <v>1107881711.9099841</v>
      </c>
    </row>
    <row r="150" spans="1:2" x14ac:dyDescent="0.35">
      <c r="A150" s="3">
        <v>45147</v>
      </c>
      <c r="B150" s="4">
        <v>1112847553.1524601</v>
      </c>
    </row>
    <row r="151" spans="1:2" x14ac:dyDescent="0.35">
      <c r="A151" s="3">
        <v>45148</v>
      </c>
      <c r="B151" s="4">
        <v>1101690404.0628741</v>
      </c>
    </row>
    <row r="152" spans="1:2" x14ac:dyDescent="0.35">
      <c r="A152" s="3">
        <v>45149</v>
      </c>
      <c r="B152" s="4">
        <v>1102577691.3128381</v>
      </c>
    </row>
    <row r="153" spans="1:2" x14ac:dyDescent="0.35">
      <c r="A153" s="3">
        <v>45152</v>
      </c>
      <c r="B153" s="4">
        <v>1106535218.3536551</v>
      </c>
    </row>
    <row r="154" spans="1:2" x14ac:dyDescent="0.35">
      <c r="A154" s="3">
        <v>45153</v>
      </c>
      <c r="B154" s="4">
        <v>1112212021.2041211</v>
      </c>
    </row>
    <row r="155" spans="1:2" x14ac:dyDescent="0.35">
      <c r="A155" s="3">
        <v>45154</v>
      </c>
      <c r="B155" s="4">
        <v>1107973451.600297</v>
      </c>
    </row>
    <row r="156" spans="1:2" x14ac:dyDescent="0.35">
      <c r="A156" s="3">
        <v>45155</v>
      </c>
      <c r="B156" s="4">
        <v>1097197168.6896429</v>
      </c>
    </row>
    <row r="157" spans="1:2" x14ac:dyDescent="0.35">
      <c r="A157" s="3">
        <v>45156</v>
      </c>
      <c r="B157" s="4">
        <v>1066094833.646428</v>
      </c>
    </row>
    <row r="158" spans="1:2" x14ac:dyDescent="0.35">
      <c r="A158" s="3">
        <v>45159</v>
      </c>
      <c r="B158" s="4">
        <v>1056961074.295549</v>
      </c>
    </row>
    <row r="159" spans="1:2" x14ac:dyDescent="0.35">
      <c r="A159" s="3">
        <v>45160</v>
      </c>
      <c r="B159" s="4">
        <v>1054689981.223792</v>
      </c>
    </row>
    <row r="160" spans="1:2" x14ac:dyDescent="0.35">
      <c r="A160" s="3">
        <v>45161</v>
      </c>
      <c r="B160" s="4">
        <v>1059671131.718841</v>
      </c>
    </row>
    <row r="161" spans="1:2" x14ac:dyDescent="0.35">
      <c r="A161" s="3">
        <v>45162</v>
      </c>
      <c r="B161" s="4">
        <v>1066338534.362372</v>
      </c>
    </row>
    <row r="162" spans="1:2" x14ac:dyDescent="0.35">
      <c r="A162" s="3">
        <v>45163</v>
      </c>
      <c r="B162" s="4">
        <v>1062897497.177249</v>
      </c>
    </row>
    <row r="163" spans="1:2" x14ac:dyDescent="0.35">
      <c r="A163" s="3">
        <v>45166</v>
      </c>
      <c r="B163" s="4">
        <v>1066626898.518158</v>
      </c>
    </row>
    <row r="164" spans="1:2" x14ac:dyDescent="0.35">
      <c r="A164" s="3">
        <v>45167</v>
      </c>
      <c r="B164" s="4">
        <v>1065280513.8133169</v>
      </c>
    </row>
    <row r="165" spans="1:2" x14ac:dyDescent="0.35">
      <c r="A165" s="3">
        <v>45168</v>
      </c>
      <c r="B165" s="4">
        <v>1067677164.896806</v>
      </c>
    </row>
    <row r="166" spans="1:2" x14ac:dyDescent="0.35">
      <c r="A166" s="3">
        <v>45169</v>
      </c>
      <c r="B166" s="4">
        <v>1073050236.6609761</v>
      </c>
    </row>
    <row r="167" spans="1:2" x14ac:dyDescent="0.35">
      <c r="A167" s="3">
        <v>45174</v>
      </c>
      <c r="B167" s="4">
        <v>1080220084.7539799</v>
      </c>
    </row>
    <row r="168" spans="1:2" x14ac:dyDescent="0.35">
      <c r="A168" s="3">
        <v>45175</v>
      </c>
      <c r="B168" s="4">
        <v>1093152349.2966239</v>
      </c>
    </row>
    <row r="169" spans="1:2" x14ac:dyDescent="0.35">
      <c r="A169" s="3">
        <v>45176</v>
      </c>
      <c r="B169" s="4">
        <v>1093232869.44609</v>
      </c>
    </row>
    <row r="170" spans="1:2" x14ac:dyDescent="0.35">
      <c r="A170" s="3">
        <v>45177</v>
      </c>
      <c r="B170" s="4">
        <v>1092974405.55516</v>
      </c>
    </row>
    <row r="171" spans="1:2" x14ac:dyDescent="0.35">
      <c r="A171" s="3">
        <v>45180</v>
      </c>
      <c r="B171" s="4">
        <v>1081121074.818887</v>
      </c>
    </row>
    <row r="172" spans="1:2" x14ac:dyDescent="0.35">
      <c r="A172" s="3">
        <v>45181</v>
      </c>
      <c r="B172" s="4">
        <v>1088967314.465898</v>
      </c>
    </row>
    <row r="173" spans="1:2" x14ac:dyDescent="0.35">
      <c r="A173" s="3">
        <v>45182</v>
      </c>
      <c r="B173" s="4">
        <v>1098667101.6809249</v>
      </c>
    </row>
    <row r="174" spans="1:2" x14ac:dyDescent="0.35">
      <c r="A174" s="3">
        <v>45183</v>
      </c>
      <c r="B174" s="4">
        <v>1095665725.1685431</v>
      </c>
    </row>
    <row r="175" spans="1:2" x14ac:dyDescent="0.35">
      <c r="A175" s="3">
        <v>45184</v>
      </c>
      <c r="B175" s="4">
        <v>1096024252.7906499</v>
      </c>
    </row>
    <row r="176" spans="1:2" x14ac:dyDescent="0.35">
      <c r="A176" s="3">
        <v>45187</v>
      </c>
      <c r="B176" s="4">
        <v>1098350462.8257999</v>
      </c>
    </row>
    <row r="177" spans="1:2" x14ac:dyDescent="0.35">
      <c r="A177" s="3">
        <v>45188</v>
      </c>
      <c r="B177" s="4">
        <v>1099444420.760922</v>
      </c>
    </row>
    <row r="178" spans="1:2" x14ac:dyDescent="0.35">
      <c r="A178" s="3">
        <v>45189</v>
      </c>
      <c r="B178" s="4">
        <v>1099078623.999289</v>
      </c>
    </row>
    <row r="179" spans="1:2" x14ac:dyDescent="0.35">
      <c r="A179" s="3">
        <v>45190</v>
      </c>
      <c r="B179" s="4">
        <v>1097677002.3535891</v>
      </c>
    </row>
    <row r="180" spans="1:2" x14ac:dyDescent="0.35">
      <c r="A180" s="3">
        <v>45191</v>
      </c>
      <c r="B180" s="4">
        <v>1095736776.8043759</v>
      </c>
    </row>
    <row r="181" spans="1:2" x14ac:dyDescent="0.35">
      <c r="A181" s="3">
        <v>45194</v>
      </c>
      <c r="B181" s="4">
        <v>1078633786.273869</v>
      </c>
    </row>
    <row r="182" spans="1:2" x14ac:dyDescent="0.35">
      <c r="A182" s="3">
        <v>45195</v>
      </c>
      <c r="B182" s="4">
        <v>1077334803.057384</v>
      </c>
    </row>
    <row r="183" spans="1:2" x14ac:dyDescent="0.35">
      <c r="A183" s="3">
        <v>45196</v>
      </c>
      <c r="B183" s="4">
        <v>1084229286.4571781</v>
      </c>
    </row>
    <row r="184" spans="1:2" x14ac:dyDescent="0.35">
      <c r="A184" s="3">
        <v>45197</v>
      </c>
      <c r="B184" s="4">
        <v>1082084356.8342249</v>
      </c>
    </row>
    <row r="185" spans="1:2" x14ac:dyDescent="0.35">
      <c r="A185" s="3">
        <v>45198</v>
      </c>
      <c r="B185" s="4">
        <v>1089433659.1182151</v>
      </c>
    </row>
    <row r="186" spans="1:2" x14ac:dyDescent="0.35">
      <c r="A186" s="3">
        <v>45201</v>
      </c>
      <c r="B186" s="4">
        <v>1089433659</v>
      </c>
    </row>
    <row r="187" spans="1:2" x14ac:dyDescent="0.35">
      <c r="A187" s="3">
        <v>45202</v>
      </c>
      <c r="B187" s="4">
        <v>1069025638.477999</v>
      </c>
    </row>
    <row r="188" spans="1:2" x14ac:dyDescent="0.35">
      <c r="A188" s="3">
        <v>45203</v>
      </c>
      <c r="B188" s="4">
        <v>1080291564.642386</v>
      </c>
    </row>
    <row r="189" spans="1:2" x14ac:dyDescent="0.35">
      <c r="A189" s="3">
        <v>45204</v>
      </c>
      <c r="B189" s="4">
        <v>1074435210.3920419</v>
      </c>
    </row>
    <row r="190" spans="1:2" x14ac:dyDescent="0.35">
      <c r="A190" s="3">
        <v>45205</v>
      </c>
      <c r="B190" s="4">
        <v>1085225859.5982599</v>
      </c>
    </row>
    <row r="191" spans="1:2" x14ac:dyDescent="0.35">
      <c r="A191" s="3">
        <v>45208</v>
      </c>
      <c r="B191" s="4">
        <v>1099945673.359381</v>
      </c>
    </row>
    <row r="192" spans="1:2" x14ac:dyDescent="0.35">
      <c r="A192" s="3">
        <v>45209</v>
      </c>
      <c r="B192" s="4">
        <v>1105870849.417542</v>
      </c>
    </row>
    <row r="193" spans="1:2" x14ac:dyDescent="0.35">
      <c r="A193" s="3">
        <v>45210</v>
      </c>
      <c r="B193" s="4">
        <v>1116850025.8636119</v>
      </c>
    </row>
    <row r="194" spans="1:2" x14ac:dyDescent="0.35">
      <c r="A194" s="3">
        <v>45211</v>
      </c>
      <c r="B194" s="4">
        <v>1114227078.266592</v>
      </c>
    </row>
    <row r="195" spans="1:2" x14ac:dyDescent="0.35">
      <c r="A195" s="3">
        <v>45212</v>
      </c>
      <c r="B195" s="4">
        <v>1125742853.582432</v>
      </c>
    </row>
    <row r="196" spans="1:2" x14ac:dyDescent="0.35">
      <c r="A196" s="3">
        <v>45215</v>
      </c>
      <c r="B196" s="4">
        <v>1125313214.4556999</v>
      </c>
    </row>
    <row r="197" spans="1:2" x14ac:dyDescent="0.35">
      <c r="A197" s="3">
        <v>45216</v>
      </c>
      <c r="B197" s="4">
        <v>1096935586.98052</v>
      </c>
    </row>
    <row r="198" spans="1:2" x14ac:dyDescent="0.35">
      <c r="A198" s="3">
        <v>45217</v>
      </c>
      <c r="B198" s="4">
        <v>1080904985.7120881</v>
      </c>
    </row>
    <row r="199" spans="1:2" x14ac:dyDescent="0.35">
      <c r="A199" s="3">
        <v>45218</v>
      </c>
      <c r="B199" s="4">
        <v>1061705281.841841</v>
      </c>
    </row>
    <row r="200" spans="1:2" x14ac:dyDescent="0.35">
      <c r="A200" s="3">
        <v>45219</v>
      </c>
      <c r="B200" s="4">
        <v>1074114345.1022639</v>
      </c>
    </row>
    <row r="201" spans="1:2" x14ac:dyDescent="0.35">
      <c r="A201" s="3">
        <v>45222</v>
      </c>
      <c r="B201" s="4">
        <v>1056565342.158376</v>
      </c>
    </row>
    <row r="202" spans="1:2" x14ac:dyDescent="0.35">
      <c r="A202" s="3">
        <v>45223</v>
      </c>
      <c r="B202" s="4">
        <v>1061006140.37556</v>
      </c>
    </row>
    <row r="203" spans="1:2" x14ac:dyDescent="0.35">
      <c r="A203" s="3">
        <v>45224</v>
      </c>
      <c r="B203" s="4">
        <v>1048786447.735635</v>
      </c>
    </row>
    <row r="204" spans="1:2" x14ac:dyDescent="0.35">
      <c r="A204" s="3">
        <v>45225</v>
      </c>
      <c r="B204" s="4">
        <v>1004836217.726253</v>
      </c>
    </row>
    <row r="205" spans="1:2" x14ac:dyDescent="0.35">
      <c r="A205" s="3">
        <v>45226</v>
      </c>
      <c r="B205" s="4">
        <v>1012515008.287698</v>
      </c>
    </row>
    <row r="206" spans="1:2" x14ac:dyDescent="0.35">
      <c r="A206" s="3">
        <v>45229</v>
      </c>
      <c r="B206" s="4">
        <v>998090413.56176603</v>
      </c>
    </row>
    <row r="207" spans="1:2" x14ac:dyDescent="0.35">
      <c r="A207" s="3">
        <v>45230</v>
      </c>
      <c r="B207" s="4">
        <v>976547897.30525947</v>
      </c>
    </row>
    <row r="208" spans="1:2" x14ac:dyDescent="0.35">
      <c r="A208" s="3">
        <v>45231</v>
      </c>
      <c r="B208" s="4">
        <v>986515737.99774909</v>
      </c>
    </row>
    <row r="209" spans="1:2" x14ac:dyDescent="0.35">
      <c r="A209" s="3">
        <v>45232</v>
      </c>
      <c r="B209" s="4">
        <v>1002734782.262171</v>
      </c>
    </row>
    <row r="210" spans="1:2" x14ac:dyDescent="0.35">
      <c r="A210" s="3">
        <v>45233</v>
      </c>
      <c r="B210" s="4">
        <v>1001029450.192914</v>
      </c>
    </row>
    <row r="211" spans="1:2" x14ac:dyDescent="0.35">
      <c r="A211" s="3">
        <v>45236</v>
      </c>
      <c r="B211" s="4">
        <v>1002502462.111825</v>
      </c>
    </row>
    <row r="212" spans="1:2" x14ac:dyDescent="0.35">
      <c r="A212" s="3">
        <v>45237</v>
      </c>
      <c r="B212" s="4">
        <v>1000561966.8035361</v>
      </c>
    </row>
    <row r="213" spans="1:2" x14ac:dyDescent="0.35">
      <c r="A213" s="3">
        <v>45238</v>
      </c>
      <c r="B213" s="4">
        <v>1014773613.718549</v>
      </c>
    </row>
    <row r="214" spans="1:2" x14ac:dyDescent="0.35">
      <c r="A214" s="3">
        <v>45239</v>
      </c>
      <c r="B214" s="4">
        <v>1015920729.490716</v>
      </c>
    </row>
    <row r="215" spans="1:2" x14ac:dyDescent="0.35">
      <c r="A215" s="3">
        <v>45240</v>
      </c>
      <c r="B215" s="4">
        <v>1009112103.338567</v>
      </c>
    </row>
    <row r="216" spans="1:2" x14ac:dyDescent="0.35">
      <c r="A216" s="3">
        <v>45243</v>
      </c>
      <c r="B216" s="4">
        <v>1006374081.456199</v>
      </c>
    </row>
    <row r="217" spans="1:2" x14ac:dyDescent="0.35">
      <c r="A217" s="3">
        <v>45244</v>
      </c>
      <c r="B217" s="4">
        <v>1008879172.179574</v>
      </c>
    </row>
    <row r="218" spans="1:2" x14ac:dyDescent="0.35">
      <c r="A218" s="3">
        <v>45245</v>
      </c>
      <c r="B218" s="4">
        <v>1012567565.076956</v>
      </c>
    </row>
    <row r="219" spans="1:2" x14ac:dyDescent="0.35">
      <c r="A219" s="3">
        <v>45246</v>
      </c>
      <c r="B219" s="4">
        <v>1018906814.189059</v>
      </c>
    </row>
    <row r="220" spans="1:2" x14ac:dyDescent="0.35">
      <c r="A220" s="3">
        <v>45247</v>
      </c>
      <c r="B220" s="4">
        <v>1013554262.177928</v>
      </c>
    </row>
    <row r="221" spans="1:2" x14ac:dyDescent="0.35">
      <c r="A221" s="3">
        <v>45250</v>
      </c>
      <c r="B221" s="4">
        <v>1012252096.864664</v>
      </c>
    </row>
    <row r="222" spans="1:2" x14ac:dyDescent="0.35">
      <c r="A222" s="3">
        <v>45251</v>
      </c>
      <c r="B222" s="4">
        <v>1015480411.735289</v>
      </c>
    </row>
    <row r="223" spans="1:2" x14ac:dyDescent="0.35">
      <c r="A223" s="3">
        <v>45252</v>
      </c>
      <c r="B223" s="4">
        <v>1016136895.699478</v>
      </c>
    </row>
    <row r="224" spans="1:2" x14ac:dyDescent="0.35">
      <c r="A224" s="3">
        <v>45253</v>
      </c>
      <c r="B224" s="4">
        <v>1005204122.001281</v>
      </c>
    </row>
    <row r="225" spans="1:2" x14ac:dyDescent="0.35">
      <c r="A225" s="3">
        <v>45254</v>
      </c>
      <c r="B225" s="4">
        <v>1008571586.758164</v>
      </c>
    </row>
    <row r="226" spans="1:2" x14ac:dyDescent="0.35">
      <c r="A226" s="3">
        <v>45257</v>
      </c>
      <c r="B226" s="4">
        <v>1003753058.639379</v>
      </c>
    </row>
    <row r="227" spans="1:2" x14ac:dyDescent="0.35">
      <c r="A227" s="3">
        <v>45258</v>
      </c>
      <c r="B227" s="4">
        <v>1003377223.151067</v>
      </c>
    </row>
    <row r="228" spans="1:2" x14ac:dyDescent="0.35">
      <c r="A228" s="3">
        <v>45259</v>
      </c>
      <c r="B228" s="4">
        <v>1005080563.5607001</v>
      </c>
    </row>
    <row r="229" spans="1:2" x14ac:dyDescent="0.35">
      <c r="A229" s="3">
        <v>45260</v>
      </c>
      <c r="B229" s="4">
        <v>1004062686.544327</v>
      </c>
    </row>
    <row r="230" spans="1:2" x14ac:dyDescent="0.35">
      <c r="A230" s="3">
        <v>45261</v>
      </c>
      <c r="B230" s="4">
        <v>1009508638.019713</v>
      </c>
    </row>
    <row r="231" spans="1:2" x14ac:dyDescent="0.35">
      <c r="A231" s="3">
        <v>45264</v>
      </c>
      <c r="B231" s="4">
        <v>1017794766.80498</v>
      </c>
    </row>
    <row r="232" spans="1:2" x14ac:dyDescent="0.35">
      <c r="A232" s="3">
        <v>45265</v>
      </c>
      <c r="B232" s="4">
        <v>1018834525.82867</v>
      </c>
    </row>
    <row r="233" spans="1:2" x14ac:dyDescent="0.35">
      <c r="A233" s="3">
        <v>45266</v>
      </c>
      <c r="B233" s="4">
        <v>1024627459.048419</v>
      </c>
    </row>
    <row r="234" spans="1:2" x14ac:dyDescent="0.35">
      <c r="A234" s="3">
        <v>45267</v>
      </c>
      <c r="B234" s="4">
        <v>1021213589.302207</v>
      </c>
    </row>
    <row r="235" spans="1:2" x14ac:dyDescent="0.35">
      <c r="A235" s="3">
        <v>45268</v>
      </c>
      <c r="B235" s="4">
        <v>1020091104.466228</v>
      </c>
    </row>
    <row r="236" spans="1:2" x14ac:dyDescent="0.35">
      <c r="A236" s="3">
        <v>45271</v>
      </c>
      <c r="B236" s="4">
        <v>1022707389.515834</v>
      </c>
    </row>
    <row r="237" spans="1:2" x14ac:dyDescent="0.35">
      <c r="A237" s="3">
        <v>45272</v>
      </c>
      <c r="B237" s="4">
        <v>1023708858.244365</v>
      </c>
    </row>
    <row r="238" spans="1:2" x14ac:dyDescent="0.35">
      <c r="A238" s="3">
        <v>45273</v>
      </c>
      <c r="B238" s="4">
        <v>1019268585.8477499</v>
      </c>
    </row>
    <row r="239" spans="1:2" x14ac:dyDescent="0.35">
      <c r="A239" s="3">
        <v>45274</v>
      </c>
      <c r="B239" s="4">
        <v>1019365573.883044</v>
      </c>
    </row>
    <row r="240" spans="1:2" x14ac:dyDescent="0.35">
      <c r="A240" s="3">
        <v>45275</v>
      </c>
      <c r="B240" s="4">
        <v>1014638247.7183681</v>
      </c>
    </row>
    <row r="241" spans="1:2" x14ac:dyDescent="0.35">
      <c r="A241" s="3">
        <v>45278</v>
      </c>
      <c r="B241" s="4">
        <v>1007853119.328285</v>
      </c>
    </row>
    <row r="242" spans="1:2" x14ac:dyDescent="0.35">
      <c r="A242" s="3">
        <v>45279</v>
      </c>
      <c r="B242" s="4">
        <v>1007010203.267705</v>
      </c>
    </row>
    <row r="243" spans="1:2" x14ac:dyDescent="0.35">
      <c r="A243" s="3">
        <v>45280</v>
      </c>
      <c r="B243" s="4">
        <v>1008723136.394213</v>
      </c>
    </row>
    <row r="244" spans="1:2" x14ac:dyDescent="0.35">
      <c r="A244" s="3">
        <v>45281</v>
      </c>
      <c r="B244" s="4">
        <v>1008471820.751935</v>
      </c>
    </row>
    <row r="245" spans="1:2" x14ac:dyDescent="0.35">
      <c r="A245" s="3">
        <v>45282</v>
      </c>
      <c r="B245" s="4">
        <v>1017083225.364969</v>
      </c>
    </row>
    <row r="246" spans="1:2" x14ac:dyDescent="0.35">
      <c r="A246" s="3">
        <v>45285</v>
      </c>
      <c r="B246" s="4">
        <v>1027968966.604516</v>
      </c>
    </row>
    <row r="247" spans="1:2" x14ac:dyDescent="0.35">
      <c r="A247" s="3">
        <v>45286</v>
      </c>
      <c r="B247" s="4">
        <v>1031871072.1139081</v>
      </c>
    </row>
    <row r="248" spans="1:2" x14ac:dyDescent="0.35">
      <c r="A248" s="3">
        <v>45287</v>
      </c>
      <c r="B248" s="4">
        <v>1034467394.002623</v>
      </c>
    </row>
    <row r="249" spans="1:2" x14ac:dyDescent="0.35">
      <c r="A249" s="3">
        <v>45288</v>
      </c>
      <c r="B249" s="4">
        <v>1036098470.627547</v>
      </c>
    </row>
    <row r="250" spans="1:2" x14ac:dyDescent="0.35">
      <c r="A250" s="3">
        <v>45289</v>
      </c>
      <c r="B250" s="4">
        <v>1034092864.4424649</v>
      </c>
    </row>
  </sheetData>
  <conditionalFormatting sqref="B2:B60">
    <cfRule type="top10" dxfId="16" priority="7" bottom="1" rank="1"/>
    <cfRule type="top10" dxfId="15" priority="8" rank="1"/>
  </conditionalFormatting>
  <conditionalFormatting sqref="B61:B122">
    <cfRule type="top10" dxfId="14" priority="5" bottom="1" rank="1"/>
    <cfRule type="top10" dxfId="13" priority="6" rank="1"/>
  </conditionalFormatting>
  <conditionalFormatting sqref="B123:B185">
    <cfRule type="top10" dxfId="12" priority="3" bottom="1" rank="1"/>
    <cfRule type="top10" dxfId="11" priority="4" rank="1"/>
  </conditionalFormatting>
  <conditionalFormatting sqref="B186:B250">
    <cfRule type="top10" dxfId="10" priority="1" bottom="1" rank="1"/>
  </conditionalFormatting>
  <conditionalFormatting sqref="B186:B251">
    <cfRule type="top10" dxfId="9" priority="2" rank="1"/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abSelected="1" topLeftCell="A43" workbookViewId="0">
      <selection activeCell="D48" sqref="D48"/>
    </sheetView>
  </sheetViews>
  <sheetFormatPr defaultRowHeight="14.5" x14ac:dyDescent="0.35"/>
  <cols>
    <col min="1" max="1" width="11" customWidth="1"/>
    <col min="2" max="2" width="11" style="11" customWidth="1"/>
    <col min="3" max="5" width="11" customWidth="1"/>
    <col min="6" max="7" width="11" style="11" customWidth="1"/>
    <col min="8" max="8" width="11" customWidth="1"/>
  </cols>
  <sheetData>
    <row r="1" spans="1:8" x14ac:dyDescent="0.35">
      <c r="A1" s="6" t="s">
        <v>8</v>
      </c>
      <c r="B1" s="7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7" t="s">
        <v>14</v>
      </c>
      <c r="H1" s="1" t="s">
        <v>15</v>
      </c>
    </row>
    <row r="2" spans="1:8" x14ac:dyDescent="0.35">
      <c r="A2" s="17" t="s">
        <v>31</v>
      </c>
      <c r="B2" s="17"/>
      <c r="C2" s="17"/>
      <c r="D2" s="17"/>
      <c r="E2" s="17"/>
      <c r="F2" s="17"/>
      <c r="G2" s="17"/>
      <c r="H2" s="17"/>
    </row>
    <row r="3" spans="1:8" x14ac:dyDescent="0.35">
      <c r="A3" t="s">
        <v>56</v>
      </c>
      <c r="B3" s="11">
        <v>0.16020000000000001</v>
      </c>
      <c r="C3">
        <v>0.1</v>
      </c>
      <c r="D3" t="s">
        <v>21</v>
      </c>
      <c r="E3" t="s">
        <v>57</v>
      </c>
      <c r="F3" s="11">
        <v>0.2109704641350211</v>
      </c>
      <c r="G3" s="11">
        <v>0.2109704641350211</v>
      </c>
      <c r="H3" t="s">
        <v>17</v>
      </c>
    </row>
    <row r="4" spans="1:8" x14ac:dyDescent="0.35">
      <c r="A4" t="s">
        <v>55</v>
      </c>
      <c r="B4" s="11">
        <v>0.15479999999999999</v>
      </c>
      <c r="C4">
        <v>0.6</v>
      </c>
      <c r="D4" t="s">
        <v>21</v>
      </c>
      <c r="E4" t="s">
        <v>22</v>
      </c>
      <c r="F4" s="11">
        <v>-5.2229299363057417E-2</v>
      </c>
      <c r="G4" s="11">
        <v>3.5668789808917058E-2</v>
      </c>
      <c r="H4" t="s">
        <v>18</v>
      </c>
    </row>
    <row r="5" spans="1:8" x14ac:dyDescent="0.35">
      <c r="A5" t="s">
        <v>51</v>
      </c>
      <c r="B5" s="11">
        <v>0.1178</v>
      </c>
      <c r="C5">
        <v>1.01</v>
      </c>
      <c r="D5" t="s">
        <v>21</v>
      </c>
      <c r="E5" t="s">
        <v>22</v>
      </c>
      <c r="F5" s="11">
        <v>-2.9585798816568049E-2</v>
      </c>
      <c r="G5" s="11">
        <v>1.7751479289940829E-2</v>
      </c>
      <c r="H5" t="s">
        <v>18</v>
      </c>
    </row>
    <row r="6" spans="1:8" x14ac:dyDescent="0.35">
      <c r="A6" t="s">
        <v>52</v>
      </c>
      <c r="B6" s="11">
        <v>0.1099</v>
      </c>
      <c r="C6">
        <v>0.97</v>
      </c>
      <c r="D6" t="s">
        <v>21</v>
      </c>
      <c r="E6" t="s">
        <v>22</v>
      </c>
      <c r="F6" s="11">
        <v>0.121359223300971</v>
      </c>
      <c r="G6" s="11">
        <v>0.16504854368932029</v>
      </c>
      <c r="H6" t="s">
        <v>18</v>
      </c>
    </row>
    <row r="7" spans="1:8" x14ac:dyDescent="0.35">
      <c r="A7" t="s">
        <v>53</v>
      </c>
      <c r="B7" s="11">
        <v>0.1091</v>
      </c>
      <c r="C7">
        <v>0.82</v>
      </c>
      <c r="D7" t="s">
        <v>21</v>
      </c>
      <c r="E7" t="s">
        <v>22</v>
      </c>
      <c r="F7" s="11">
        <v>7.6693539646677314E-2</v>
      </c>
      <c r="G7" s="11">
        <v>0.1070229351296822</v>
      </c>
      <c r="H7" t="s">
        <v>18</v>
      </c>
    </row>
    <row r="8" spans="1:8" x14ac:dyDescent="0.35">
      <c r="A8" t="s">
        <v>25</v>
      </c>
      <c r="B8" s="11">
        <v>0.1077</v>
      </c>
      <c r="C8">
        <v>0.37</v>
      </c>
      <c r="D8" t="s">
        <v>21</v>
      </c>
      <c r="E8" t="s">
        <v>22</v>
      </c>
      <c r="F8" s="11">
        <v>-5.1987767584097878E-2</v>
      </c>
      <c r="G8" s="11">
        <v>9.1743119266055172E-3</v>
      </c>
      <c r="H8" t="s">
        <v>18</v>
      </c>
    </row>
    <row r="9" spans="1:8" x14ac:dyDescent="0.35">
      <c r="A9" t="s">
        <v>24</v>
      </c>
      <c r="B9" s="11">
        <v>7.8299999999999995E-2</v>
      </c>
      <c r="C9">
        <v>0.54</v>
      </c>
      <c r="D9" t="s">
        <v>21</v>
      </c>
      <c r="E9" t="s">
        <v>22</v>
      </c>
      <c r="F9" s="11">
        <v>-7.6187775595416243E-2</v>
      </c>
      <c r="G9" s="11">
        <v>7.2727272727272696E-2</v>
      </c>
      <c r="H9" t="s">
        <v>18</v>
      </c>
    </row>
    <row r="10" spans="1:8" x14ac:dyDescent="0.35">
      <c r="A10" t="s">
        <v>20</v>
      </c>
      <c r="B10" s="11">
        <v>7.0199999999999999E-2</v>
      </c>
      <c r="C10">
        <v>0.56999999999999995</v>
      </c>
      <c r="D10" t="s">
        <v>21</v>
      </c>
      <c r="E10" t="s">
        <v>22</v>
      </c>
      <c r="F10" s="11">
        <v>-5.3484602917342E-2</v>
      </c>
      <c r="G10" s="11">
        <v>8.9141004862236667E-2</v>
      </c>
      <c r="H10" t="s">
        <v>18</v>
      </c>
    </row>
    <row r="11" spans="1:8" x14ac:dyDescent="0.35">
      <c r="A11" s="18" t="s">
        <v>54</v>
      </c>
      <c r="B11" s="19">
        <v>4.7899999999999998E-2</v>
      </c>
      <c r="C11" s="18">
        <v>0.66</v>
      </c>
      <c r="D11" s="18" t="s">
        <v>21</v>
      </c>
      <c r="E11" s="18" t="s">
        <v>22</v>
      </c>
      <c r="F11" s="19">
        <v>0</v>
      </c>
      <c r="G11" s="19">
        <v>0.17216070048931231</v>
      </c>
      <c r="H11" s="18" t="s">
        <v>18</v>
      </c>
    </row>
    <row r="12" spans="1:8" x14ac:dyDescent="0.35">
      <c r="A12" t="s">
        <v>23</v>
      </c>
      <c r="B12" s="11">
        <v>4.41E-2</v>
      </c>
      <c r="C12">
        <v>0.5</v>
      </c>
      <c r="D12" t="s">
        <v>21</v>
      </c>
      <c r="E12" t="s">
        <v>22</v>
      </c>
      <c r="F12" s="11">
        <v>2.2993527916106381E-2</v>
      </c>
      <c r="G12" s="11">
        <v>5.6603555202448377E-2</v>
      </c>
      <c r="H12" t="s">
        <v>18</v>
      </c>
    </row>
    <row r="13" spans="1:8" x14ac:dyDescent="0.35">
      <c r="A13" s="17" t="s">
        <v>32</v>
      </c>
      <c r="B13" s="17"/>
      <c r="C13" s="17"/>
      <c r="D13" s="17"/>
      <c r="E13" s="17"/>
      <c r="F13" s="17"/>
      <c r="G13" s="17"/>
      <c r="H13" s="17"/>
    </row>
    <row r="14" spans="1:8" x14ac:dyDescent="0.35">
      <c r="A14" t="s">
        <v>62</v>
      </c>
      <c r="B14" s="11">
        <v>0.192</v>
      </c>
      <c r="C14">
        <v>0.22</v>
      </c>
      <c r="D14" s="3" t="s">
        <v>33</v>
      </c>
      <c r="E14" s="3" t="s">
        <v>60</v>
      </c>
      <c r="F14" s="11">
        <v>0.08</v>
      </c>
      <c r="G14" s="11">
        <v>9.8571603920812254E-2</v>
      </c>
      <c r="H14" t="s">
        <v>18</v>
      </c>
    </row>
    <row r="15" spans="1:8" x14ac:dyDescent="0.35">
      <c r="A15" t="s">
        <v>43</v>
      </c>
      <c r="B15" s="11">
        <v>0.10630000000000001</v>
      </c>
      <c r="C15">
        <v>0.26</v>
      </c>
      <c r="D15" s="3" t="s">
        <v>33</v>
      </c>
      <c r="E15" s="3" t="s">
        <v>63</v>
      </c>
      <c r="F15" s="11">
        <v>0.24097938144329911</v>
      </c>
      <c r="G15" s="11">
        <v>0.24097938144329911</v>
      </c>
      <c r="H15" t="s">
        <v>17</v>
      </c>
    </row>
    <row r="16" spans="1:8" x14ac:dyDescent="0.35">
      <c r="A16" t="s">
        <v>39</v>
      </c>
      <c r="B16" s="11">
        <v>0.1022</v>
      </c>
      <c r="C16">
        <v>0.46</v>
      </c>
      <c r="D16" s="3" t="s">
        <v>33</v>
      </c>
      <c r="E16" s="3" t="s">
        <v>65</v>
      </c>
      <c r="F16" s="11">
        <v>0.27352941176470591</v>
      </c>
      <c r="G16" s="11">
        <v>0.27352941176470591</v>
      </c>
      <c r="H16" t="s">
        <v>17</v>
      </c>
    </row>
    <row r="17" spans="1:8" x14ac:dyDescent="0.35">
      <c r="A17" t="s">
        <v>64</v>
      </c>
      <c r="B17" s="11">
        <v>8.0799999999999997E-2</v>
      </c>
      <c r="C17">
        <v>0.79</v>
      </c>
      <c r="D17" s="3" t="s">
        <v>33</v>
      </c>
      <c r="E17" s="3" t="s">
        <v>60</v>
      </c>
      <c r="F17" s="11">
        <v>-2.9585798816568101E-2</v>
      </c>
      <c r="G17" s="11">
        <v>6.5088757396449773E-2</v>
      </c>
      <c r="H17" t="s">
        <v>18</v>
      </c>
    </row>
    <row r="18" spans="1:8" x14ac:dyDescent="0.35">
      <c r="A18" t="s">
        <v>51</v>
      </c>
      <c r="B18" s="11">
        <v>7.7299999999999994E-2</v>
      </c>
      <c r="C18">
        <v>1.01</v>
      </c>
      <c r="D18" s="3" t="s">
        <v>21</v>
      </c>
      <c r="E18" s="3" t="s">
        <v>60</v>
      </c>
      <c r="F18" s="11">
        <v>-0.13017751479289941</v>
      </c>
      <c r="G18" s="11">
        <v>1.7751479289940829E-2</v>
      </c>
      <c r="H18" t="s">
        <v>18</v>
      </c>
    </row>
    <row r="19" spans="1:8" x14ac:dyDescent="0.35">
      <c r="A19" t="s">
        <v>61</v>
      </c>
      <c r="B19" s="11">
        <v>7.7100000000000002E-2</v>
      </c>
      <c r="C19">
        <v>0.17</v>
      </c>
      <c r="D19" s="3" t="s">
        <v>33</v>
      </c>
      <c r="E19" s="3" t="s">
        <v>60</v>
      </c>
      <c r="F19" s="11">
        <v>-2.108153922770526E-3</v>
      </c>
      <c r="G19" s="11">
        <v>0.1009615384615383</v>
      </c>
      <c r="H19" t="s">
        <v>18</v>
      </c>
    </row>
    <row r="20" spans="1:8" x14ac:dyDescent="0.35">
      <c r="A20" t="s">
        <v>53</v>
      </c>
      <c r="B20" s="11">
        <v>7.5399999999999995E-2</v>
      </c>
      <c r="C20">
        <v>0.82</v>
      </c>
      <c r="D20" s="3" t="s">
        <v>21</v>
      </c>
      <c r="E20" s="3" t="s">
        <v>60</v>
      </c>
      <c r="F20" s="11">
        <v>-5.6735057983942877E-2</v>
      </c>
      <c r="G20" s="11">
        <v>0.1070229351296822</v>
      </c>
      <c r="H20" t="s">
        <v>18</v>
      </c>
    </row>
    <row r="21" spans="1:8" x14ac:dyDescent="0.35">
      <c r="A21" t="s">
        <v>55</v>
      </c>
      <c r="B21" s="11">
        <v>5.8700000000000002E-2</v>
      </c>
      <c r="C21">
        <v>0.6</v>
      </c>
      <c r="D21" s="3" t="s">
        <v>21</v>
      </c>
      <c r="E21" s="3" t="s">
        <v>66</v>
      </c>
      <c r="F21" s="11">
        <v>-0.1554140127388535</v>
      </c>
      <c r="G21" s="11">
        <v>3.5668789808917058E-2</v>
      </c>
      <c r="H21" t="s">
        <v>16</v>
      </c>
    </row>
    <row r="22" spans="1:8" x14ac:dyDescent="0.35">
      <c r="A22" t="s">
        <v>25</v>
      </c>
      <c r="B22" s="11">
        <v>5.74E-2</v>
      </c>
      <c r="C22">
        <v>0.37</v>
      </c>
      <c r="D22" s="3" t="s">
        <v>21</v>
      </c>
      <c r="E22" s="3" t="s">
        <v>60</v>
      </c>
      <c r="F22" s="11">
        <v>0.19151195446618549</v>
      </c>
      <c r="G22" s="11">
        <v>0.19151195446618549</v>
      </c>
      <c r="H22" t="s">
        <v>18</v>
      </c>
    </row>
    <row r="23" spans="1:8" s="18" customFormat="1" x14ac:dyDescent="0.35">
      <c r="A23" t="s">
        <v>59</v>
      </c>
      <c r="B23" s="11">
        <v>5.5899999999999998E-2</v>
      </c>
      <c r="C23">
        <v>0.17</v>
      </c>
      <c r="D23" s="3" t="s">
        <v>33</v>
      </c>
      <c r="E23" s="3" t="s">
        <v>60</v>
      </c>
      <c r="F23" s="11">
        <v>-2.1739130434782612E-2</v>
      </c>
      <c r="G23" s="11">
        <v>5.0724637681159417E-2</v>
      </c>
      <c r="H23" t="s">
        <v>18</v>
      </c>
    </row>
    <row r="24" spans="1:8" x14ac:dyDescent="0.35">
      <c r="A24" t="s">
        <v>26</v>
      </c>
      <c r="B24" s="11">
        <v>5.0099999999999999E-2</v>
      </c>
      <c r="C24">
        <v>0.91</v>
      </c>
      <c r="D24" s="3" t="s">
        <v>33</v>
      </c>
      <c r="E24" s="3" t="s">
        <v>60</v>
      </c>
      <c r="F24" s="11">
        <v>7.7586206896551727E-2</v>
      </c>
      <c r="G24" s="11">
        <v>0.13146551724137931</v>
      </c>
      <c r="H24" t="s">
        <v>18</v>
      </c>
    </row>
    <row r="25" spans="1:8" x14ac:dyDescent="0.35">
      <c r="A25" s="18" t="s">
        <v>24</v>
      </c>
      <c r="B25" s="19">
        <v>3.3700000000000001E-2</v>
      </c>
      <c r="C25" s="18">
        <v>0.54</v>
      </c>
      <c r="D25" s="20" t="s">
        <v>21</v>
      </c>
      <c r="E25" s="20" t="s">
        <v>60</v>
      </c>
      <c r="F25" s="19">
        <v>3.8136292095370707E-2</v>
      </c>
      <c r="G25" s="19">
        <v>7.2727272727272696E-2</v>
      </c>
      <c r="H25" s="18" t="s">
        <v>18</v>
      </c>
    </row>
    <row r="26" spans="1:8" x14ac:dyDescent="0.35">
      <c r="A26" t="s">
        <v>52</v>
      </c>
      <c r="B26" s="11">
        <v>3.3099999999999997E-2</v>
      </c>
      <c r="C26">
        <v>0.97</v>
      </c>
      <c r="D26" s="3" t="s">
        <v>21</v>
      </c>
      <c r="E26" s="3" t="s">
        <v>60</v>
      </c>
      <c r="F26" s="11">
        <v>5.2184466019417487E-2</v>
      </c>
      <c r="G26" s="11">
        <v>0.16504854368932029</v>
      </c>
      <c r="H26" t="s">
        <v>18</v>
      </c>
    </row>
    <row r="27" spans="1:8" x14ac:dyDescent="0.35">
      <c r="A27" s="17" t="s">
        <v>35</v>
      </c>
      <c r="B27" s="17"/>
      <c r="C27" s="17"/>
      <c r="D27" s="17"/>
      <c r="E27" s="17"/>
      <c r="F27" s="17"/>
      <c r="G27" s="17"/>
      <c r="H27" s="17"/>
    </row>
    <row r="28" spans="1:8" x14ac:dyDescent="0.35">
      <c r="A28" t="s">
        <v>59</v>
      </c>
      <c r="B28" s="11">
        <v>2.86E-2</v>
      </c>
      <c r="C28">
        <v>0.17</v>
      </c>
      <c r="D28" t="s">
        <v>33</v>
      </c>
      <c r="E28" t="s">
        <v>38</v>
      </c>
      <c r="F28" s="11">
        <v>-0.12681159420289859</v>
      </c>
      <c r="G28" s="11">
        <v>5.0724637681159417E-2</v>
      </c>
      <c r="H28" t="s">
        <v>18</v>
      </c>
    </row>
    <row r="29" spans="1:8" x14ac:dyDescent="0.35">
      <c r="A29" t="s">
        <v>51</v>
      </c>
      <c r="B29" s="11">
        <v>5.0799999999999998E-2</v>
      </c>
      <c r="C29">
        <v>1.01</v>
      </c>
      <c r="D29" t="s">
        <v>21</v>
      </c>
      <c r="E29" t="s">
        <v>38</v>
      </c>
      <c r="F29" s="11">
        <v>-0.1136094674556213</v>
      </c>
      <c r="G29" s="11">
        <v>1.7751479289940829E-2</v>
      </c>
      <c r="H29" t="s">
        <v>18</v>
      </c>
    </row>
    <row r="30" spans="1:8" x14ac:dyDescent="0.35">
      <c r="A30" t="s">
        <v>67</v>
      </c>
      <c r="B30" s="11">
        <v>4.6100000000000002E-2</v>
      </c>
      <c r="C30">
        <v>0.64</v>
      </c>
      <c r="D30" t="s">
        <v>36</v>
      </c>
      <c r="E30" t="s">
        <v>38</v>
      </c>
      <c r="F30" s="11">
        <v>-2.6845637583892589E-2</v>
      </c>
      <c r="G30" s="11">
        <v>0.12751677852349</v>
      </c>
      <c r="H30" t="s">
        <v>18</v>
      </c>
    </row>
    <row r="31" spans="1:8" x14ac:dyDescent="0.35">
      <c r="A31" t="s">
        <v>62</v>
      </c>
      <c r="B31" s="11">
        <v>6.4699999999999994E-2</v>
      </c>
      <c r="C31">
        <v>0.22</v>
      </c>
      <c r="D31" t="s">
        <v>33</v>
      </c>
      <c r="E31" t="s">
        <v>38</v>
      </c>
      <c r="F31" s="11">
        <v>-6.5714285714285767E-2</v>
      </c>
      <c r="G31" s="11">
        <v>9.8571603920812254E-2</v>
      </c>
      <c r="H31" t="s">
        <v>18</v>
      </c>
    </row>
    <row r="32" spans="1:8" x14ac:dyDescent="0.35">
      <c r="A32" t="s">
        <v>43</v>
      </c>
      <c r="B32" s="11">
        <v>9.3399999999999997E-2</v>
      </c>
      <c r="C32">
        <v>0.26</v>
      </c>
      <c r="D32" t="s">
        <v>36</v>
      </c>
      <c r="E32" t="s">
        <v>38</v>
      </c>
      <c r="F32" s="11">
        <v>0.10557768924302791</v>
      </c>
      <c r="G32" s="11">
        <v>0.11553784860557779</v>
      </c>
      <c r="H32" t="s">
        <v>18</v>
      </c>
    </row>
    <row r="33" spans="1:8" x14ac:dyDescent="0.35">
      <c r="A33" t="s">
        <v>37</v>
      </c>
      <c r="B33" s="11">
        <v>6.7599999999999993E-2</v>
      </c>
      <c r="C33">
        <v>0.28000000000000003</v>
      </c>
      <c r="D33" t="s">
        <v>36</v>
      </c>
      <c r="E33" t="s">
        <v>38</v>
      </c>
      <c r="F33" s="11">
        <v>-0.1255605381165919</v>
      </c>
      <c r="G33" s="11">
        <v>4.334828101644244E-2</v>
      </c>
      <c r="H33" t="s">
        <v>18</v>
      </c>
    </row>
    <row r="34" spans="1:8" x14ac:dyDescent="0.35">
      <c r="A34" t="s">
        <v>68</v>
      </c>
      <c r="B34" s="11">
        <v>7.3599999999999999E-2</v>
      </c>
      <c r="C34">
        <v>1.07</v>
      </c>
      <c r="D34" t="s">
        <v>36</v>
      </c>
      <c r="E34" t="s">
        <v>69</v>
      </c>
      <c r="F34" s="11">
        <v>0.20538720538720531</v>
      </c>
      <c r="G34" s="11">
        <v>0.20538720538720531</v>
      </c>
      <c r="H34" t="s">
        <v>17</v>
      </c>
    </row>
    <row r="35" spans="1:8" x14ac:dyDescent="0.35">
      <c r="A35" t="s">
        <v>70</v>
      </c>
      <c r="B35" s="11">
        <v>8.8200000000000001E-2</v>
      </c>
      <c r="C35">
        <v>0.6</v>
      </c>
      <c r="D35" t="s">
        <v>36</v>
      </c>
      <c r="E35" t="s">
        <v>38</v>
      </c>
      <c r="F35" s="11">
        <v>-8.4745762711864431E-2</v>
      </c>
      <c r="G35" s="11">
        <v>8.7570621468926579E-2</v>
      </c>
      <c r="H35" t="s">
        <v>18</v>
      </c>
    </row>
    <row r="36" spans="1:8" x14ac:dyDescent="0.35">
      <c r="A36" t="s">
        <v>71</v>
      </c>
      <c r="B36" s="11">
        <v>6.5000000000000002E-2</v>
      </c>
      <c r="C36">
        <v>0.86</v>
      </c>
      <c r="D36" t="s">
        <v>36</v>
      </c>
      <c r="E36" t="s">
        <v>72</v>
      </c>
      <c r="F36" s="11">
        <v>0.2300319488817891</v>
      </c>
      <c r="G36" s="11">
        <v>0.2300319488817891</v>
      </c>
      <c r="H36" t="s">
        <v>17</v>
      </c>
    </row>
    <row r="37" spans="1:8" x14ac:dyDescent="0.35">
      <c r="A37" t="s">
        <v>53</v>
      </c>
      <c r="B37" s="11">
        <v>4.7500000000000001E-2</v>
      </c>
      <c r="C37">
        <v>0.82</v>
      </c>
      <c r="D37" t="s">
        <v>21</v>
      </c>
      <c r="E37" t="s">
        <v>73</v>
      </c>
      <c r="F37" s="11">
        <v>-0.15682426404995539</v>
      </c>
      <c r="G37" s="11">
        <v>0.1070229351296822</v>
      </c>
      <c r="H37" t="s">
        <v>16</v>
      </c>
    </row>
    <row r="38" spans="1:8" x14ac:dyDescent="0.35">
      <c r="A38" t="s">
        <v>64</v>
      </c>
      <c r="B38" s="11">
        <v>2.58E-2</v>
      </c>
      <c r="C38">
        <v>0.79</v>
      </c>
      <c r="D38" t="s">
        <v>33</v>
      </c>
      <c r="E38" t="s">
        <v>74</v>
      </c>
      <c r="F38" s="11">
        <v>-0.1893491124260355</v>
      </c>
      <c r="G38" s="11">
        <v>6.5088757396449773E-2</v>
      </c>
      <c r="H38" t="s">
        <v>16</v>
      </c>
    </row>
    <row r="39" spans="1:8" x14ac:dyDescent="0.35">
      <c r="A39" t="s">
        <v>54</v>
      </c>
      <c r="B39" s="11">
        <v>6.0699999999999997E-2</v>
      </c>
      <c r="C39">
        <v>0.66</v>
      </c>
      <c r="D39" t="s">
        <v>36</v>
      </c>
      <c r="E39" t="s">
        <v>38</v>
      </c>
      <c r="F39" s="11">
        <v>8.8235642404320497E-2</v>
      </c>
      <c r="G39" s="11">
        <v>9.8039215686274564E-2</v>
      </c>
      <c r="H39" t="s">
        <v>18</v>
      </c>
    </row>
    <row r="40" spans="1:8" x14ac:dyDescent="0.35">
      <c r="A40" t="s">
        <v>75</v>
      </c>
      <c r="B40" s="11">
        <v>0.1135</v>
      </c>
      <c r="C40">
        <v>0.74</v>
      </c>
      <c r="D40" t="s">
        <v>36</v>
      </c>
      <c r="E40" t="s">
        <v>38</v>
      </c>
      <c r="F40" s="11">
        <v>-5.6994818652849673E-2</v>
      </c>
      <c r="G40" s="11">
        <v>0.13730569948186541</v>
      </c>
      <c r="H40" t="s">
        <v>18</v>
      </c>
    </row>
    <row r="41" spans="1:8" x14ac:dyDescent="0.35">
      <c r="A41" t="s">
        <v>76</v>
      </c>
      <c r="B41" s="11">
        <v>0.10580000000000001</v>
      </c>
      <c r="C41">
        <v>0.31</v>
      </c>
      <c r="D41" t="s">
        <v>36</v>
      </c>
      <c r="E41" t="s">
        <v>38</v>
      </c>
      <c r="F41" s="11">
        <v>-3.8732084116541353E-2</v>
      </c>
      <c r="G41" s="11">
        <v>7.017543859649121E-2</v>
      </c>
      <c r="H41" t="s">
        <v>18</v>
      </c>
    </row>
    <row r="42" spans="1:8" x14ac:dyDescent="0.35">
      <c r="A42" t="s">
        <v>25</v>
      </c>
      <c r="B42" s="11">
        <v>2.75E-2</v>
      </c>
      <c r="C42">
        <v>0.37</v>
      </c>
      <c r="D42" t="s">
        <v>21</v>
      </c>
      <c r="E42" t="s">
        <v>38</v>
      </c>
      <c r="F42" s="11">
        <v>0.1298820257869</v>
      </c>
      <c r="G42" s="11">
        <v>0.1726805873697371</v>
      </c>
      <c r="H42" t="s">
        <v>18</v>
      </c>
    </row>
    <row r="43" spans="1:8" x14ac:dyDescent="0.35">
      <c r="A43" t="s">
        <v>26</v>
      </c>
      <c r="B43" s="11">
        <v>4.1200000000000001E-2</v>
      </c>
      <c r="C43">
        <v>0.91</v>
      </c>
      <c r="D43" t="s">
        <v>33</v>
      </c>
      <c r="E43" t="s">
        <v>38</v>
      </c>
      <c r="F43" s="11">
        <v>0.1131944444444444</v>
      </c>
      <c r="G43" s="11">
        <v>0.18825555555555559</v>
      </c>
      <c r="H43" t="s">
        <v>18</v>
      </c>
    </row>
    <row r="44" spans="1:8" x14ac:dyDescent="0.35">
      <c r="A44" s="17" t="s">
        <v>49</v>
      </c>
      <c r="B44" s="17"/>
      <c r="C44" s="17"/>
      <c r="D44" s="17"/>
      <c r="E44" s="17"/>
      <c r="F44" s="17"/>
      <c r="G44" s="17"/>
      <c r="H44" s="17"/>
    </row>
    <row r="45" spans="1:8" x14ac:dyDescent="0.35">
      <c r="A45" t="s">
        <v>40</v>
      </c>
      <c r="B45" s="11">
        <v>9.6600000000000005E-2</v>
      </c>
      <c r="C45">
        <v>0.78</v>
      </c>
      <c r="D45" t="s">
        <v>42</v>
      </c>
      <c r="E45" t="s">
        <v>88</v>
      </c>
      <c r="F45" s="11">
        <v>0.20518358531317499</v>
      </c>
      <c r="G45" s="11">
        <v>0.20518358531317499</v>
      </c>
      <c r="H45" t="s">
        <v>17</v>
      </c>
    </row>
    <row r="46" spans="1:8" x14ac:dyDescent="0.35">
      <c r="A46" t="s">
        <v>78</v>
      </c>
      <c r="B46" s="11">
        <v>8.7999999999999995E-2</v>
      </c>
      <c r="C46" s="23">
        <v>0.32</v>
      </c>
      <c r="D46" t="s">
        <v>42</v>
      </c>
      <c r="E46" t="s">
        <v>48</v>
      </c>
      <c r="F46" s="11">
        <v>-0.17333333333333331</v>
      </c>
      <c r="G46" s="11">
        <v>9.9259259259259339E-2</v>
      </c>
      <c r="H46" t="s">
        <v>16</v>
      </c>
    </row>
    <row r="47" spans="1:8" x14ac:dyDescent="0.35">
      <c r="A47" t="s">
        <v>55</v>
      </c>
      <c r="B47" s="11">
        <v>8.0500000000000002E-2</v>
      </c>
      <c r="C47" s="23">
        <v>0.6</v>
      </c>
      <c r="D47" t="s">
        <v>42</v>
      </c>
      <c r="E47" t="s">
        <v>44</v>
      </c>
      <c r="F47" s="11">
        <v>-9.9125600738132369E-2</v>
      </c>
      <c r="G47" s="11">
        <v>2.6455026455026371E-3</v>
      </c>
      <c r="H47" t="s">
        <v>18</v>
      </c>
    </row>
    <row r="48" spans="1:8" x14ac:dyDescent="0.35">
      <c r="A48" t="s">
        <v>46</v>
      </c>
      <c r="B48" s="11">
        <v>0.08</v>
      </c>
      <c r="C48" s="23">
        <v>0.79</v>
      </c>
      <c r="D48" t="s">
        <v>42</v>
      </c>
      <c r="E48" t="s">
        <v>44</v>
      </c>
      <c r="F48" s="11">
        <v>3.1115879828326101E-2</v>
      </c>
      <c r="G48" s="11">
        <v>4.2918454935622193E-2</v>
      </c>
      <c r="H48" t="s">
        <v>18</v>
      </c>
    </row>
    <row r="49" spans="1:8" x14ac:dyDescent="0.35">
      <c r="A49" t="s">
        <v>80</v>
      </c>
      <c r="B49" s="11">
        <v>7.6499999999999999E-2</v>
      </c>
      <c r="C49" s="23">
        <v>0.7</v>
      </c>
      <c r="D49" t="s">
        <v>42</v>
      </c>
      <c r="E49" t="s">
        <v>44</v>
      </c>
      <c r="F49" s="11">
        <v>-9.4043887147335567E-3</v>
      </c>
      <c r="G49" s="11">
        <v>0.12225705329153611</v>
      </c>
      <c r="H49" t="s">
        <v>18</v>
      </c>
    </row>
    <row r="50" spans="1:8" x14ac:dyDescent="0.35">
      <c r="A50" t="s">
        <v>81</v>
      </c>
      <c r="B50" s="11">
        <v>6.9800000000000001E-2</v>
      </c>
      <c r="C50" s="23">
        <v>0.54</v>
      </c>
      <c r="D50" t="s">
        <v>42</v>
      </c>
      <c r="E50" t="s">
        <v>47</v>
      </c>
      <c r="F50" s="11">
        <v>-0.15151515151515149</v>
      </c>
      <c r="G50" s="11">
        <v>3.434343434343437E-2</v>
      </c>
      <c r="H50" t="s">
        <v>16</v>
      </c>
    </row>
    <row r="51" spans="1:8" x14ac:dyDescent="0.35">
      <c r="A51" t="s">
        <v>59</v>
      </c>
      <c r="B51" s="11">
        <v>5.8700000000000002E-2</v>
      </c>
      <c r="C51" s="23">
        <v>0.17</v>
      </c>
      <c r="D51" t="s">
        <v>33</v>
      </c>
      <c r="E51" t="s">
        <v>77</v>
      </c>
      <c r="F51" s="11">
        <v>-0.1630434782608696</v>
      </c>
      <c r="G51" s="11">
        <v>5.0724637681159417E-2</v>
      </c>
      <c r="H51" t="s">
        <v>16</v>
      </c>
    </row>
    <row r="52" spans="1:8" x14ac:dyDescent="0.35">
      <c r="A52" t="s">
        <v>87</v>
      </c>
      <c r="B52" s="11">
        <v>5.5800000000000002E-2</v>
      </c>
      <c r="C52">
        <v>0.18</v>
      </c>
      <c r="D52" t="s">
        <v>42</v>
      </c>
      <c r="E52" t="s">
        <v>44</v>
      </c>
      <c r="F52" s="11">
        <v>-0.11737729044026191</v>
      </c>
      <c r="G52" s="11">
        <v>7.1428571428571513E-3</v>
      </c>
      <c r="H52" t="s">
        <v>18</v>
      </c>
    </row>
    <row r="53" spans="1:8" x14ac:dyDescent="0.35">
      <c r="A53" t="s">
        <v>85</v>
      </c>
      <c r="B53" s="11">
        <v>5.5500000000000001E-2</v>
      </c>
      <c r="C53" s="23">
        <v>1.57</v>
      </c>
      <c r="D53" t="s">
        <v>42</v>
      </c>
      <c r="E53" t="s">
        <v>86</v>
      </c>
      <c r="F53" s="11">
        <v>-0.15000000000000011</v>
      </c>
      <c r="G53" s="11">
        <v>3.1254874434565091E-3</v>
      </c>
      <c r="H53" t="s">
        <v>16</v>
      </c>
    </row>
    <row r="54" spans="1:8" x14ac:dyDescent="0.35">
      <c r="A54" t="s">
        <v>79</v>
      </c>
      <c r="B54" s="11">
        <v>5.0099999999999999E-2</v>
      </c>
      <c r="C54" s="23">
        <v>0.45</v>
      </c>
      <c r="D54" t="s">
        <v>42</v>
      </c>
      <c r="E54" t="s">
        <v>47</v>
      </c>
      <c r="F54" s="11">
        <v>-0.1646586345381526</v>
      </c>
      <c r="G54" s="11">
        <v>3.413654618473895E-2</v>
      </c>
      <c r="H54" t="s">
        <v>16</v>
      </c>
    </row>
    <row r="55" spans="1:8" s="18" customFormat="1" x14ac:dyDescent="0.35">
      <c r="A55" s="18" t="s">
        <v>82</v>
      </c>
      <c r="B55" s="19">
        <v>4.8500000000000001E-2</v>
      </c>
      <c r="C55" s="25">
        <v>0.46</v>
      </c>
      <c r="D55" s="18" t="s">
        <v>42</v>
      </c>
      <c r="E55" s="18" t="s">
        <v>44</v>
      </c>
      <c r="F55" s="19">
        <v>9.3749999999999972E-2</v>
      </c>
      <c r="G55" s="19">
        <v>0.171875</v>
      </c>
      <c r="H55" s="18" t="s">
        <v>18</v>
      </c>
    </row>
    <row r="56" spans="1:8" x14ac:dyDescent="0.35">
      <c r="A56" t="s">
        <v>83</v>
      </c>
      <c r="B56" s="11">
        <v>4.7199999999999999E-2</v>
      </c>
      <c r="C56" s="23">
        <v>0.8</v>
      </c>
      <c r="D56" t="s">
        <v>42</v>
      </c>
      <c r="E56" t="s">
        <v>48</v>
      </c>
      <c r="F56" s="11">
        <v>-0.15151515151515149</v>
      </c>
      <c r="G56" s="11">
        <v>0</v>
      </c>
      <c r="H56" t="s">
        <v>16</v>
      </c>
    </row>
    <row r="57" spans="1:8" x14ac:dyDescent="0.35">
      <c r="A57" t="s">
        <v>84</v>
      </c>
      <c r="B57" s="11">
        <v>4.2099999999999999E-2</v>
      </c>
      <c r="C57" s="23">
        <v>0.51</v>
      </c>
      <c r="D57" t="s">
        <v>42</v>
      </c>
      <c r="E57" t="s">
        <v>45</v>
      </c>
      <c r="F57" s="11">
        <v>-0.1825396825396825</v>
      </c>
      <c r="G57" s="11">
        <v>8.5978835978835891E-2</v>
      </c>
      <c r="H57" t="s">
        <v>16</v>
      </c>
    </row>
    <row r="58" spans="1:8" x14ac:dyDescent="0.35">
      <c r="A58" t="s">
        <v>26</v>
      </c>
      <c r="B58" s="11">
        <v>4.0800000000000003E-2</v>
      </c>
      <c r="C58" s="23">
        <v>0.91</v>
      </c>
      <c r="D58" t="s">
        <v>33</v>
      </c>
      <c r="E58" t="s">
        <v>44</v>
      </c>
      <c r="F58" s="11">
        <v>2.159444444444451E-2</v>
      </c>
      <c r="G58" s="11">
        <v>0.13863888888888881</v>
      </c>
      <c r="H58" t="s">
        <v>18</v>
      </c>
    </row>
    <row r="59" spans="1:8" s="18" customFormat="1" x14ac:dyDescent="0.35">
      <c r="A59" s="18" t="s">
        <v>43</v>
      </c>
      <c r="B59" s="19">
        <v>4.0399999999999998E-2</v>
      </c>
      <c r="C59" s="25">
        <v>0.26</v>
      </c>
      <c r="D59" s="18" t="s">
        <v>36</v>
      </c>
      <c r="E59" s="18" t="s">
        <v>44</v>
      </c>
      <c r="F59" s="19">
        <v>7.9681274900398377E-2</v>
      </c>
      <c r="G59" s="19">
        <v>0.1892430278884463</v>
      </c>
      <c r="H59" s="18" t="s">
        <v>18</v>
      </c>
    </row>
    <row r="60" spans="1:8" x14ac:dyDescent="0.35">
      <c r="A60" t="s">
        <v>62</v>
      </c>
      <c r="B60" s="11">
        <v>3.6700000000000003E-2</v>
      </c>
      <c r="C60" s="23">
        <v>0.22</v>
      </c>
      <c r="D60" t="s">
        <v>33</v>
      </c>
      <c r="E60" t="s">
        <v>44</v>
      </c>
      <c r="F60" s="11">
        <v>2.6452506619439192E-2</v>
      </c>
      <c r="G60" s="11">
        <v>9.8571603920812254E-2</v>
      </c>
      <c r="H60" t="s">
        <v>18</v>
      </c>
    </row>
    <row r="61" spans="1:8" x14ac:dyDescent="0.35">
      <c r="A61" t="s">
        <v>51</v>
      </c>
      <c r="B61" s="11">
        <v>3.2800000000000003E-2</v>
      </c>
      <c r="C61" s="23">
        <v>1.01</v>
      </c>
      <c r="D61" t="s">
        <v>21</v>
      </c>
      <c r="E61" t="s">
        <v>48</v>
      </c>
      <c r="F61" s="11">
        <v>-0.1585798816568047</v>
      </c>
      <c r="G61" s="11">
        <v>1.7751479289940829E-2</v>
      </c>
      <c r="H61" t="s">
        <v>16</v>
      </c>
    </row>
  </sheetData>
  <sortState xmlns:xlrd2="http://schemas.microsoft.com/office/spreadsheetml/2017/richdata2" ref="A45:H61">
    <sortCondition descending="1" ref="B45:B61"/>
  </sortState>
  <mergeCells count="4">
    <mergeCell ref="A44:H44"/>
    <mergeCell ref="A2:H2"/>
    <mergeCell ref="A13:H13"/>
    <mergeCell ref="A27:H27"/>
  </mergeCells>
  <conditionalFormatting sqref="A1:A2">
    <cfRule type="duplicateValues" dxfId="8" priority="21"/>
  </conditionalFormatting>
  <conditionalFormatting sqref="A1:A1048576">
    <cfRule type="duplicateValues" dxfId="7" priority="16"/>
  </conditionalFormatting>
  <conditionalFormatting sqref="A13">
    <cfRule type="duplicateValues" dxfId="6" priority="12"/>
  </conditionalFormatting>
  <conditionalFormatting sqref="A27">
    <cfRule type="duplicateValues" dxfId="5" priority="8"/>
  </conditionalFormatting>
  <conditionalFormatting sqref="A44">
    <cfRule type="duplicateValues" dxfId="4" priority="4"/>
  </conditionalFormatting>
  <conditionalFormatting sqref="F1:F1048576">
    <cfRule type="cellIs" dxfId="3" priority="6" operator="lessThan">
      <formula>0</formula>
    </cfRule>
  </conditionalFormatting>
  <conditionalFormatting sqref="H1:H1048576">
    <cfRule type="cellIs" dxfId="2" priority="1" operator="equal">
      <formula>"Take Profit"</formula>
    </cfRule>
    <cfRule type="cellIs" dxfId="1" priority="2" operator="equal">
      <formula>"Keep Position"</formula>
    </cfRule>
    <cfRule type="cellIs" dxfId="0" priority="3" operator="equal">
      <formula>"Stop Loss"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2026-03-18T08:33:32Z</dcterms:modified>
</cp:coreProperties>
</file>