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Finance\"/>
    </mc:Choice>
  </mc:AlternateContent>
  <xr:revisionPtr revIDLastSave="0" documentId="13_ncr:1_{A1476F03-E36F-4EA0-BC64-811DD7CDE19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ummary" sheetId="1" r:id="rId1"/>
    <sheet name="Daily_Returns" sheetId="2" r:id="rId2"/>
    <sheet name="Trades_Log" sheetId="3" r:id="rId3"/>
  </sheets>
  <definedNames>
    <definedName name="_xlnm._FilterDatabase" localSheetId="2" hidden="1">Trades_Log!$A$3:$H$12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B11" i="1"/>
  <c r="E9" i="1"/>
  <c r="E10" i="1"/>
  <c r="B9" i="1"/>
  <c r="G4" i="1"/>
  <c r="D9" i="1"/>
  <c r="D10" i="1"/>
  <c r="C10" i="1"/>
  <c r="C9" i="1"/>
  <c r="B10" i="1"/>
</calcChain>
</file>

<file path=xl/sharedStrings.xml><?xml version="1.0" encoding="utf-8"?>
<sst xmlns="http://schemas.openxmlformats.org/spreadsheetml/2006/main" count="245" uniqueCount="97">
  <si>
    <t>Metric</t>
  </si>
  <si>
    <t>Initial Capital</t>
  </si>
  <si>
    <t>Final NAV</t>
  </si>
  <si>
    <t>Profit/Loss</t>
  </si>
  <si>
    <t>Max Drawdown (%)</t>
  </si>
  <si>
    <t>Max Loss (%)</t>
  </si>
  <si>
    <t>Date</t>
  </si>
  <si>
    <t>NAV</t>
  </si>
  <si>
    <t>Symbol</t>
  </si>
  <si>
    <t>Weight</t>
  </si>
  <si>
    <t>Beta</t>
  </si>
  <si>
    <t>Entry_Date</t>
  </si>
  <si>
    <t>Exit_Date</t>
  </si>
  <si>
    <t>Return_Pct</t>
  </si>
  <si>
    <t>Highest_Return_Pct</t>
  </si>
  <si>
    <t>Exit_Reason</t>
  </si>
  <si>
    <t>Stop Loss</t>
  </si>
  <si>
    <t>Take Profit</t>
  </si>
  <si>
    <t>Keep Position</t>
  </si>
  <si>
    <t>LPB</t>
  </si>
  <si>
    <t>BFC</t>
  </si>
  <si>
    <t>Return at the end (%)</t>
  </si>
  <si>
    <t>Q1/2024</t>
  </si>
  <si>
    <t>2024Q1</t>
  </si>
  <si>
    <t>2024-01-02</t>
  </si>
  <si>
    <t>2024-03-11</t>
  </si>
  <si>
    <t>BMP</t>
  </si>
  <si>
    <t>2024-03-29</t>
  </si>
  <si>
    <t>MCH</t>
  </si>
  <si>
    <t>Q2/2024</t>
  </si>
  <si>
    <t>2024-06-28</t>
  </si>
  <si>
    <t>2024-04-01</t>
  </si>
  <si>
    <t>IMP</t>
  </si>
  <si>
    <t>LIX</t>
  </si>
  <si>
    <t>MBB</t>
  </si>
  <si>
    <t>2024-05-17</t>
  </si>
  <si>
    <t>Q3/2024</t>
  </si>
  <si>
    <t>2024Q2</t>
  </si>
  <si>
    <t>2024Q3</t>
  </si>
  <si>
    <t>2024-09-30</t>
  </si>
  <si>
    <t>2024-07-01</t>
  </si>
  <si>
    <t>Q4/2024</t>
  </si>
  <si>
    <t>2024Q4</t>
  </si>
  <si>
    <t>2024-10-01</t>
  </si>
  <si>
    <t>2024-12-31</t>
  </si>
  <si>
    <t>LHC</t>
  </si>
  <si>
    <t>VTZ</t>
  </si>
  <si>
    <t>CMG</t>
  </si>
  <si>
    <t>ELC</t>
  </si>
  <si>
    <t>HAG</t>
  </si>
  <si>
    <t>BIC</t>
  </si>
  <si>
    <t>2024-05-28</t>
  </si>
  <si>
    <t>NTL</t>
  </si>
  <si>
    <t>2024-06-10</t>
  </si>
  <si>
    <t>SCL</t>
  </si>
  <si>
    <t>2024-05-08</t>
  </si>
  <si>
    <t>VGI</t>
  </si>
  <si>
    <t>DHT</t>
  </si>
  <si>
    <t>2024-07-15</t>
  </si>
  <si>
    <t>2024-07-16</t>
  </si>
  <si>
    <t>2024-07-22</t>
  </si>
  <si>
    <t>2024-10-09</t>
  </si>
  <si>
    <t>2024-12-24</t>
  </si>
  <si>
    <t>VPI</t>
  </si>
  <si>
    <t>Win Rate (%) - Return &gt; 0</t>
  </si>
  <si>
    <t>Take Profit (%)</t>
  </si>
  <si>
    <t>Stop Loss (%)</t>
  </si>
  <si>
    <t>KOS</t>
  </si>
  <si>
    <t>SD9</t>
  </si>
  <si>
    <t>SJD</t>
  </si>
  <si>
    <t>2024-11-15</t>
  </si>
  <si>
    <t>FRT</t>
  </si>
  <si>
    <t>2024-02-26</t>
  </si>
  <si>
    <t>GMD</t>
  </si>
  <si>
    <t>VTP</t>
  </si>
  <si>
    <t>2024-02-22</t>
  </si>
  <si>
    <t>YEG</t>
  </si>
  <si>
    <t>2024-05-09</t>
  </si>
  <si>
    <t>2024-04-12</t>
  </si>
  <si>
    <t>MCO</t>
  </si>
  <si>
    <t>2024-04-16</t>
  </si>
  <si>
    <t>2024-04-04</t>
  </si>
  <si>
    <t>FPT</t>
  </si>
  <si>
    <t>2024-07-10</t>
  </si>
  <si>
    <t>PXL</t>
  </si>
  <si>
    <t>2024-08-05</t>
  </si>
  <si>
    <t>TCM</t>
  </si>
  <si>
    <t>VOS</t>
  </si>
  <si>
    <t>CTP</t>
  </si>
  <si>
    <t>2024-10-08</t>
  </si>
  <si>
    <t>2024-11-28</t>
  </si>
  <si>
    <t>HDB</t>
  </si>
  <si>
    <t>SBG</t>
  </si>
  <si>
    <t>TCO</t>
  </si>
  <si>
    <t>2024-11-22</t>
  </si>
  <si>
    <t>TDP</t>
  </si>
  <si>
    <t>Keep Position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</si>
</sst>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1" fillId="0" borderId="1" xfId="2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2" borderId="0" xfId="0" applyNumberFormat="1" applyFill="1"/>
    <xf numFmtId="164" fontId="0" fillId="2" borderId="0" xfId="1" applyNumberFormat="1" applyFont="1" applyFill="1"/>
    <xf numFmtId="10" fontId="0" fillId="0" borderId="0" xfId="2" applyNumberFormat="1" applyFont="1"/>
    <xf numFmtId="0" fontId="3" fillId="0" borderId="0" xfId="0" applyFont="1"/>
    <xf numFmtId="10" fontId="3" fillId="0" borderId="0" xfId="2" applyNumberFormat="1" applyFont="1"/>
    <xf numFmtId="10" fontId="0" fillId="0" borderId="1" xfId="2" applyNumberFormat="1" applyFont="1" applyBorder="1"/>
    <xf numFmtId="10" fontId="2" fillId="0" borderId="0" xfId="2" applyNumberFormat="1" applyFont="1"/>
    <xf numFmtId="0" fontId="1" fillId="0" borderId="2" xfId="0" applyFont="1" applyBorder="1" applyAlignment="1">
      <alignment horizontal="center" vertical="top"/>
    </xf>
    <xf numFmtId="0" fontId="0" fillId="0" borderId="0" xfId="0" applyFont="1"/>
    <xf numFmtId="0" fontId="0" fillId="0" borderId="1" xfId="0" applyFill="1" applyBorder="1"/>
    <xf numFmtId="10" fontId="0" fillId="0" borderId="1" xfId="0" applyNumberFormat="1" applyBorder="1"/>
  </cellXfs>
  <cellStyles count="3">
    <cellStyle name="Comma" xfId="1" builtinId="3"/>
    <cellStyle name="Normal" xfId="0" builtinId="0"/>
    <cellStyle name="Percent" xfId="2" builtinId="5"/>
  </cellStyles>
  <dxfs count="30">
    <dxf>
      <fill>
        <patternFill>
          <bgColor rgb="FFFFFF00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Daily_Returns!$B$1</c:f>
              <c:strCache>
                <c:ptCount val="1"/>
                <c:pt idx="0">
                  <c:v> NAV 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3EF-4CC2-ABA1-E984CD896B1A}"/>
              </c:ext>
            </c:extLst>
          </c:dPt>
          <c:dPt>
            <c:idx val="57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3EF-4CC2-ABA1-E984CD896B1A}"/>
              </c:ext>
            </c:extLst>
          </c:dPt>
          <c:dPt>
            <c:idx val="58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3EF-4CC2-ABA1-E984CD896B1A}"/>
              </c:ext>
            </c:extLst>
          </c:dPt>
          <c:dPt>
            <c:idx val="11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3EF-4CC2-ABA1-E984CD896B1A}"/>
              </c:ext>
            </c:extLst>
          </c:dPt>
          <c:dPt>
            <c:idx val="11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3EF-4CC2-ABA1-E984CD896B1A}"/>
              </c:ext>
            </c:extLst>
          </c:dPt>
          <c:dPt>
            <c:idx val="13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3EF-4CC2-ABA1-E984CD896B1A}"/>
              </c:ext>
            </c:extLst>
          </c:dPt>
          <c:dPt>
            <c:idx val="175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3EF-4CC2-ABA1-E984CD896B1A}"/>
              </c:ext>
            </c:extLst>
          </c:dPt>
          <c:dPt>
            <c:idx val="183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3EF-4CC2-ABA1-E984CD896B1A}"/>
              </c:ext>
            </c:extLst>
          </c:dPt>
          <c:dPt>
            <c:idx val="241"/>
            <c:marker>
              <c:symbol val="circle"/>
              <c:size val="2"/>
              <c:spPr>
                <a:solidFill>
                  <a:schemeClr val="accent1"/>
                </a:solidFill>
                <a:ln w="0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3EF-4CC2-ABA1-E984CD896B1A}"/>
              </c:ext>
            </c:extLst>
          </c:dPt>
          <c:dPt>
            <c:idx val="249"/>
            <c:marker>
              <c:symbol val="circle"/>
              <c:size val="4"/>
              <c:spPr>
                <a:solidFill>
                  <a:srgbClr val="C00000"/>
                </a:solidFill>
                <a:ln w="0">
                  <a:solidFill>
                    <a:srgbClr val="C0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3EF-4CC2-ABA1-E984CD896B1A}"/>
              </c:ext>
            </c:extLst>
          </c:dPt>
          <c:cat>
            <c:numRef>
              <c:f>Daily_Returns!$A$2:$A$251</c:f>
              <c:numCache>
                <c:formatCode>m/d/yyyy</c:formatCode>
                <c:ptCount val="250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45306</c:v>
                </c:pt>
                <c:pt idx="10">
                  <c:v>45307</c:v>
                </c:pt>
                <c:pt idx="11">
                  <c:v>45308</c:v>
                </c:pt>
                <c:pt idx="12">
                  <c:v>45309</c:v>
                </c:pt>
                <c:pt idx="13">
                  <c:v>45310</c:v>
                </c:pt>
                <c:pt idx="14">
                  <c:v>45313</c:v>
                </c:pt>
                <c:pt idx="15">
                  <c:v>45314</c:v>
                </c:pt>
                <c:pt idx="16">
                  <c:v>45315</c:v>
                </c:pt>
                <c:pt idx="17">
                  <c:v>45316</c:v>
                </c:pt>
                <c:pt idx="18">
                  <c:v>45317</c:v>
                </c:pt>
                <c:pt idx="19">
                  <c:v>45320</c:v>
                </c:pt>
                <c:pt idx="20">
                  <c:v>45321</c:v>
                </c:pt>
                <c:pt idx="21">
                  <c:v>45322</c:v>
                </c:pt>
                <c:pt idx="22">
                  <c:v>45323</c:v>
                </c:pt>
                <c:pt idx="23">
                  <c:v>45324</c:v>
                </c:pt>
                <c:pt idx="24">
                  <c:v>45327</c:v>
                </c:pt>
                <c:pt idx="25">
                  <c:v>45328</c:v>
                </c:pt>
                <c:pt idx="26">
                  <c:v>45329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45348</c:v>
                </c:pt>
                <c:pt idx="35">
                  <c:v>45349</c:v>
                </c:pt>
                <c:pt idx="36">
                  <c:v>45350</c:v>
                </c:pt>
                <c:pt idx="37">
                  <c:v>45351</c:v>
                </c:pt>
                <c:pt idx="38">
                  <c:v>45352</c:v>
                </c:pt>
                <c:pt idx="39">
                  <c:v>45355</c:v>
                </c:pt>
                <c:pt idx="40">
                  <c:v>45356</c:v>
                </c:pt>
                <c:pt idx="41">
                  <c:v>45357</c:v>
                </c:pt>
                <c:pt idx="42">
                  <c:v>45358</c:v>
                </c:pt>
                <c:pt idx="43">
                  <c:v>45359</c:v>
                </c:pt>
                <c:pt idx="44">
                  <c:v>45362</c:v>
                </c:pt>
                <c:pt idx="45">
                  <c:v>45363</c:v>
                </c:pt>
                <c:pt idx="46">
                  <c:v>45364</c:v>
                </c:pt>
                <c:pt idx="47">
                  <c:v>45365</c:v>
                </c:pt>
                <c:pt idx="48">
                  <c:v>45366</c:v>
                </c:pt>
                <c:pt idx="49">
                  <c:v>45369</c:v>
                </c:pt>
                <c:pt idx="50">
                  <c:v>45370</c:v>
                </c:pt>
                <c:pt idx="51">
                  <c:v>45371</c:v>
                </c:pt>
                <c:pt idx="52">
                  <c:v>45372</c:v>
                </c:pt>
                <c:pt idx="53">
                  <c:v>45373</c:v>
                </c:pt>
                <c:pt idx="54">
                  <c:v>45376</c:v>
                </c:pt>
                <c:pt idx="55">
                  <c:v>45377</c:v>
                </c:pt>
                <c:pt idx="56">
                  <c:v>45378</c:v>
                </c:pt>
                <c:pt idx="57">
                  <c:v>45379</c:v>
                </c:pt>
                <c:pt idx="58">
                  <c:v>45380</c:v>
                </c:pt>
                <c:pt idx="59">
                  <c:v>45383</c:v>
                </c:pt>
                <c:pt idx="60">
                  <c:v>45384</c:v>
                </c:pt>
                <c:pt idx="61">
                  <c:v>45385</c:v>
                </c:pt>
                <c:pt idx="62">
                  <c:v>45386</c:v>
                </c:pt>
                <c:pt idx="63">
                  <c:v>45387</c:v>
                </c:pt>
                <c:pt idx="64">
                  <c:v>45390</c:v>
                </c:pt>
                <c:pt idx="65">
                  <c:v>45391</c:v>
                </c:pt>
                <c:pt idx="66">
                  <c:v>45392</c:v>
                </c:pt>
                <c:pt idx="67">
                  <c:v>45393</c:v>
                </c:pt>
                <c:pt idx="68">
                  <c:v>45394</c:v>
                </c:pt>
                <c:pt idx="69">
                  <c:v>45397</c:v>
                </c:pt>
                <c:pt idx="70">
                  <c:v>45398</c:v>
                </c:pt>
                <c:pt idx="71">
                  <c:v>45399</c:v>
                </c:pt>
                <c:pt idx="72">
                  <c:v>45401</c:v>
                </c:pt>
                <c:pt idx="73">
                  <c:v>45404</c:v>
                </c:pt>
                <c:pt idx="74">
                  <c:v>45405</c:v>
                </c:pt>
                <c:pt idx="75">
                  <c:v>45406</c:v>
                </c:pt>
                <c:pt idx="76">
                  <c:v>45407</c:v>
                </c:pt>
                <c:pt idx="77">
                  <c:v>45408</c:v>
                </c:pt>
                <c:pt idx="78">
                  <c:v>45414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45422</c:v>
                </c:pt>
                <c:pt idx="85">
                  <c:v>45425</c:v>
                </c:pt>
                <c:pt idx="86">
                  <c:v>45426</c:v>
                </c:pt>
                <c:pt idx="87">
                  <c:v>45427</c:v>
                </c:pt>
                <c:pt idx="88">
                  <c:v>45428</c:v>
                </c:pt>
                <c:pt idx="89">
                  <c:v>45429</c:v>
                </c:pt>
                <c:pt idx="90">
                  <c:v>45432</c:v>
                </c:pt>
                <c:pt idx="91">
                  <c:v>45433</c:v>
                </c:pt>
                <c:pt idx="92">
                  <c:v>45434</c:v>
                </c:pt>
                <c:pt idx="93">
                  <c:v>45435</c:v>
                </c:pt>
                <c:pt idx="94">
                  <c:v>45436</c:v>
                </c:pt>
                <c:pt idx="95">
                  <c:v>45439</c:v>
                </c:pt>
                <c:pt idx="96">
                  <c:v>45440</c:v>
                </c:pt>
                <c:pt idx="97">
                  <c:v>45441</c:v>
                </c:pt>
                <c:pt idx="98">
                  <c:v>45442</c:v>
                </c:pt>
                <c:pt idx="99">
                  <c:v>45443</c:v>
                </c:pt>
                <c:pt idx="100">
                  <c:v>45446</c:v>
                </c:pt>
                <c:pt idx="101">
                  <c:v>45447</c:v>
                </c:pt>
                <c:pt idx="102">
                  <c:v>45448</c:v>
                </c:pt>
                <c:pt idx="103">
                  <c:v>45449</c:v>
                </c:pt>
                <c:pt idx="104">
                  <c:v>45450</c:v>
                </c:pt>
                <c:pt idx="105">
                  <c:v>45453</c:v>
                </c:pt>
                <c:pt idx="106">
                  <c:v>45454</c:v>
                </c:pt>
                <c:pt idx="107">
                  <c:v>45455</c:v>
                </c:pt>
                <c:pt idx="108">
                  <c:v>45456</c:v>
                </c:pt>
                <c:pt idx="109">
                  <c:v>45457</c:v>
                </c:pt>
                <c:pt idx="110">
                  <c:v>45460</c:v>
                </c:pt>
                <c:pt idx="111">
                  <c:v>45461</c:v>
                </c:pt>
                <c:pt idx="112">
                  <c:v>45462</c:v>
                </c:pt>
                <c:pt idx="113">
                  <c:v>45463</c:v>
                </c:pt>
                <c:pt idx="114">
                  <c:v>45464</c:v>
                </c:pt>
                <c:pt idx="115">
                  <c:v>45467</c:v>
                </c:pt>
                <c:pt idx="116">
                  <c:v>45468</c:v>
                </c:pt>
                <c:pt idx="117">
                  <c:v>45469</c:v>
                </c:pt>
                <c:pt idx="118">
                  <c:v>45470</c:v>
                </c:pt>
                <c:pt idx="119">
                  <c:v>45471</c:v>
                </c:pt>
                <c:pt idx="120">
                  <c:v>45474</c:v>
                </c:pt>
                <c:pt idx="121">
                  <c:v>45475</c:v>
                </c:pt>
                <c:pt idx="122">
                  <c:v>45476</c:v>
                </c:pt>
                <c:pt idx="123">
                  <c:v>45477</c:v>
                </c:pt>
                <c:pt idx="124">
                  <c:v>45478</c:v>
                </c:pt>
                <c:pt idx="125">
                  <c:v>45481</c:v>
                </c:pt>
                <c:pt idx="126">
                  <c:v>45482</c:v>
                </c:pt>
                <c:pt idx="127">
                  <c:v>45483</c:v>
                </c:pt>
                <c:pt idx="128">
                  <c:v>45484</c:v>
                </c:pt>
                <c:pt idx="129">
                  <c:v>45485</c:v>
                </c:pt>
                <c:pt idx="130">
                  <c:v>45488</c:v>
                </c:pt>
                <c:pt idx="131">
                  <c:v>45489</c:v>
                </c:pt>
                <c:pt idx="132">
                  <c:v>45490</c:v>
                </c:pt>
                <c:pt idx="133">
                  <c:v>45491</c:v>
                </c:pt>
                <c:pt idx="134">
                  <c:v>45492</c:v>
                </c:pt>
                <c:pt idx="135">
                  <c:v>45495</c:v>
                </c:pt>
                <c:pt idx="136">
                  <c:v>45496</c:v>
                </c:pt>
                <c:pt idx="137">
                  <c:v>45497</c:v>
                </c:pt>
                <c:pt idx="138">
                  <c:v>45498</c:v>
                </c:pt>
                <c:pt idx="139">
                  <c:v>45499</c:v>
                </c:pt>
                <c:pt idx="140">
                  <c:v>45502</c:v>
                </c:pt>
                <c:pt idx="141">
                  <c:v>45503</c:v>
                </c:pt>
                <c:pt idx="142">
                  <c:v>45504</c:v>
                </c:pt>
                <c:pt idx="143">
                  <c:v>45505</c:v>
                </c:pt>
                <c:pt idx="144">
                  <c:v>45506</c:v>
                </c:pt>
                <c:pt idx="145">
                  <c:v>45509</c:v>
                </c:pt>
                <c:pt idx="146">
                  <c:v>45510</c:v>
                </c:pt>
                <c:pt idx="147">
                  <c:v>45511</c:v>
                </c:pt>
                <c:pt idx="148">
                  <c:v>45512</c:v>
                </c:pt>
                <c:pt idx="149">
                  <c:v>45513</c:v>
                </c:pt>
                <c:pt idx="150">
                  <c:v>45516</c:v>
                </c:pt>
                <c:pt idx="151">
                  <c:v>45517</c:v>
                </c:pt>
                <c:pt idx="152">
                  <c:v>45518</c:v>
                </c:pt>
                <c:pt idx="153">
                  <c:v>45519</c:v>
                </c:pt>
                <c:pt idx="154">
                  <c:v>45520</c:v>
                </c:pt>
                <c:pt idx="155">
                  <c:v>45523</c:v>
                </c:pt>
                <c:pt idx="156">
                  <c:v>45524</c:v>
                </c:pt>
                <c:pt idx="157">
                  <c:v>45525</c:v>
                </c:pt>
                <c:pt idx="158">
                  <c:v>45526</c:v>
                </c:pt>
                <c:pt idx="159">
                  <c:v>45527</c:v>
                </c:pt>
                <c:pt idx="160">
                  <c:v>45530</c:v>
                </c:pt>
                <c:pt idx="161">
                  <c:v>45531</c:v>
                </c:pt>
                <c:pt idx="162">
                  <c:v>45532</c:v>
                </c:pt>
                <c:pt idx="163">
                  <c:v>45533</c:v>
                </c:pt>
                <c:pt idx="164">
                  <c:v>45534</c:v>
                </c:pt>
                <c:pt idx="165">
                  <c:v>45539</c:v>
                </c:pt>
                <c:pt idx="166">
                  <c:v>45540</c:v>
                </c:pt>
                <c:pt idx="167">
                  <c:v>45541</c:v>
                </c:pt>
                <c:pt idx="168">
                  <c:v>45544</c:v>
                </c:pt>
                <c:pt idx="169">
                  <c:v>45545</c:v>
                </c:pt>
                <c:pt idx="170">
                  <c:v>45546</c:v>
                </c:pt>
                <c:pt idx="171">
                  <c:v>45547</c:v>
                </c:pt>
                <c:pt idx="172">
                  <c:v>45548</c:v>
                </c:pt>
                <c:pt idx="173">
                  <c:v>45551</c:v>
                </c:pt>
                <c:pt idx="174">
                  <c:v>45552</c:v>
                </c:pt>
                <c:pt idx="175">
                  <c:v>45553</c:v>
                </c:pt>
                <c:pt idx="176">
                  <c:v>45554</c:v>
                </c:pt>
                <c:pt idx="177">
                  <c:v>45555</c:v>
                </c:pt>
                <c:pt idx="178">
                  <c:v>45558</c:v>
                </c:pt>
                <c:pt idx="179">
                  <c:v>45559</c:v>
                </c:pt>
                <c:pt idx="180">
                  <c:v>45560</c:v>
                </c:pt>
                <c:pt idx="181">
                  <c:v>45561</c:v>
                </c:pt>
                <c:pt idx="182">
                  <c:v>45562</c:v>
                </c:pt>
                <c:pt idx="183">
                  <c:v>45565</c:v>
                </c:pt>
                <c:pt idx="184">
                  <c:v>45566</c:v>
                </c:pt>
                <c:pt idx="185">
                  <c:v>45567</c:v>
                </c:pt>
                <c:pt idx="186">
                  <c:v>45568</c:v>
                </c:pt>
                <c:pt idx="187">
                  <c:v>45569</c:v>
                </c:pt>
                <c:pt idx="188">
                  <c:v>45572</c:v>
                </c:pt>
                <c:pt idx="189">
                  <c:v>45573</c:v>
                </c:pt>
                <c:pt idx="190">
                  <c:v>45574</c:v>
                </c:pt>
                <c:pt idx="191">
                  <c:v>45575</c:v>
                </c:pt>
                <c:pt idx="192">
                  <c:v>45576</c:v>
                </c:pt>
                <c:pt idx="193">
                  <c:v>45579</c:v>
                </c:pt>
                <c:pt idx="194">
                  <c:v>45580</c:v>
                </c:pt>
                <c:pt idx="195">
                  <c:v>45581</c:v>
                </c:pt>
                <c:pt idx="196">
                  <c:v>45582</c:v>
                </c:pt>
                <c:pt idx="197">
                  <c:v>45583</c:v>
                </c:pt>
                <c:pt idx="198">
                  <c:v>45586</c:v>
                </c:pt>
                <c:pt idx="199">
                  <c:v>45587</c:v>
                </c:pt>
                <c:pt idx="200">
                  <c:v>45588</c:v>
                </c:pt>
                <c:pt idx="201">
                  <c:v>45589</c:v>
                </c:pt>
                <c:pt idx="202">
                  <c:v>45590</c:v>
                </c:pt>
                <c:pt idx="203">
                  <c:v>45593</c:v>
                </c:pt>
                <c:pt idx="204">
                  <c:v>45594</c:v>
                </c:pt>
                <c:pt idx="205">
                  <c:v>45595</c:v>
                </c:pt>
                <c:pt idx="206">
                  <c:v>45596</c:v>
                </c:pt>
                <c:pt idx="207">
                  <c:v>45597</c:v>
                </c:pt>
                <c:pt idx="208">
                  <c:v>45600</c:v>
                </c:pt>
                <c:pt idx="209">
                  <c:v>45601</c:v>
                </c:pt>
                <c:pt idx="210">
                  <c:v>45602</c:v>
                </c:pt>
                <c:pt idx="211">
                  <c:v>45603</c:v>
                </c:pt>
                <c:pt idx="212">
                  <c:v>45604</c:v>
                </c:pt>
                <c:pt idx="213">
                  <c:v>45607</c:v>
                </c:pt>
                <c:pt idx="214">
                  <c:v>45608</c:v>
                </c:pt>
                <c:pt idx="215">
                  <c:v>45609</c:v>
                </c:pt>
                <c:pt idx="216">
                  <c:v>45610</c:v>
                </c:pt>
                <c:pt idx="217">
                  <c:v>45611</c:v>
                </c:pt>
                <c:pt idx="218">
                  <c:v>45614</c:v>
                </c:pt>
                <c:pt idx="219">
                  <c:v>45615</c:v>
                </c:pt>
                <c:pt idx="220">
                  <c:v>45616</c:v>
                </c:pt>
                <c:pt idx="221">
                  <c:v>45617</c:v>
                </c:pt>
                <c:pt idx="222">
                  <c:v>45618</c:v>
                </c:pt>
                <c:pt idx="223">
                  <c:v>45621</c:v>
                </c:pt>
                <c:pt idx="224">
                  <c:v>45622</c:v>
                </c:pt>
                <c:pt idx="225">
                  <c:v>45623</c:v>
                </c:pt>
                <c:pt idx="226">
                  <c:v>45624</c:v>
                </c:pt>
                <c:pt idx="227">
                  <c:v>45625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45656</c:v>
                </c:pt>
                <c:pt idx="249">
                  <c:v>45657</c:v>
                </c:pt>
              </c:numCache>
            </c:numRef>
          </c:cat>
          <c:val>
            <c:numRef>
              <c:f>Daily_Returns!$B$2:$B$251</c:f>
              <c:numCache>
                <c:formatCode>_(* #,##0_);_(* \(#,##0\);_(* "-"??_);_(@_)</c:formatCode>
                <c:ptCount val="250"/>
                <c:pt idx="0">
                  <c:v>1000000000</c:v>
                </c:pt>
                <c:pt idx="1">
                  <c:v>1003287304.230435</c:v>
                </c:pt>
                <c:pt idx="2">
                  <c:v>992308305.34875</c:v>
                </c:pt>
                <c:pt idx="3">
                  <c:v>984765466.6350261</c:v>
                </c:pt>
                <c:pt idx="4">
                  <c:v>975318560.5017755</c:v>
                </c:pt>
                <c:pt idx="5">
                  <c:v>980133089.63034034</c:v>
                </c:pt>
                <c:pt idx="6">
                  <c:v>977905215.76795757</c:v>
                </c:pt>
                <c:pt idx="7">
                  <c:v>983816061.82142913</c:v>
                </c:pt>
                <c:pt idx="8">
                  <c:v>962972896.91315341</c:v>
                </c:pt>
                <c:pt idx="9">
                  <c:v>947563232.14733934</c:v>
                </c:pt>
                <c:pt idx="10">
                  <c:v>952253444.31479621</c:v>
                </c:pt>
                <c:pt idx="11">
                  <c:v>958706492.86414027</c:v>
                </c:pt>
                <c:pt idx="12">
                  <c:v>957433056.87104499</c:v>
                </c:pt>
                <c:pt idx="13">
                  <c:v>964838269.38079476</c:v>
                </c:pt>
                <c:pt idx="14">
                  <c:v>976736029.34896851</c:v>
                </c:pt>
                <c:pt idx="15">
                  <c:v>980399268.79408324</c:v>
                </c:pt>
                <c:pt idx="16">
                  <c:v>973521231.45629513</c:v>
                </c:pt>
                <c:pt idx="17">
                  <c:v>984048057.63369572</c:v>
                </c:pt>
                <c:pt idx="18">
                  <c:v>989617099.28111458</c:v>
                </c:pt>
                <c:pt idx="19">
                  <c:v>995512597.23673797</c:v>
                </c:pt>
                <c:pt idx="20">
                  <c:v>1007028773.499182</c:v>
                </c:pt>
                <c:pt idx="21">
                  <c:v>994429543.00233352</c:v>
                </c:pt>
                <c:pt idx="22">
                  <c:v>1020111269.905252</c:v>
                </c:pt>
                <c:pt idx="23">
                  <c:v>1019434889.9079649</c:v>
                </c:pt>
                <c:pt idx="24">
                  <c:v>1017535547.660918</c:v>
                </c:pt>
                <c:pt idx="25">
                  <c:v>1017250381.6339689</c:v>
                </c:pt>
                <c:pt idx="26">
                  <c:v>1020233588.1632</c:v>
                </c:pt>
                <c:pt idx="27">
                  <c:v>1020477484.067975</c:v>
                </c:pt>
                <c:pt idx="28">
                  <c:v>1013562562.8382061</c:v>
                </c:pt>
                <c:pt idx="29">
                  <c:v>1011757663.991846</c:v>
                </c:pt>
                <c:pt idx="30">
                  <c:v>1008800692.663083</c:v>
                </c:pt>
                <c:pt idx="31">
                  <c:v>1018125312.341459</c:v>
                </c:pt>
                <c:pt idx="32">
                  <c:v>1027980590.533097</c:v>
                </c:pt>
                <c:pt idx="33">
                  <c:v>1019418319.605674</c:v>
                </c:pt>
                <c:pt idx="34">
                  <c:v>1035364324.726227</c:v>
                </c:pt>
                <c:pt idx="35">
                  <c:v>1042887583.160657</c:v>
                </c:pt>
                <c:pt idx="36">
                  <c:v>1045115337.0547971</c:v>
                </c:pt>
                <c:pt idx="37">
                  <c:v>1044559625.297689</c:v>
                </c:pt>
                <c:pt idx="38">
                  <c:v>1057439801.731403</c:v>
                </c:pt>
                <c:pt idx="39">
                  <c:v>1053143568.982638</c:v>
                </c:pt>
                <c:pt idx="40">
                  <c:v>1059281360.4303271</c:v>
                </c:pt>
                <c:pt idx="41">
                  <c:v>1051740190.752761</c:v>
                </c:pt>
                <c:pt idx="42">
                  <c:v>1059140622.5144</c:v>
                </c:pt>
                <c:pt idx="43">
                  <c:v>1047562478.788648</c:v>
                </c:pt>
                <c:pt idx="44">
                  <c:v>1047370725.332471</c:v>
                </c:pt>
                <c:pt idx="45">
                  <c:v>1069279992.0127161</c:v>
                </c:pt>
                <c:pt idx="46">
                  <c:v>1080701590.5969541</c:v>
                </c:pt>
                <c:pt idx="47">
                  <c:v>1075306036.216192</c:v>
                </c:pt>
                <c:pt idx="48">
                  <c:v>1076614567.9814329</c:v>
                </c:pt>
                <c:pt idx="49">
                  <c:v>1058526483.256389</c:v>
                </c:pt>
                <c:pt idx="50">
                  <c:v>1053848276.7981139</c:v>
                </c:pt>
                <c:pt idx="51">
                  <c:v>1065172680.022918</c:v>
                </c:pt>
                <c:pt idx="52">
                  <c:v>1063723101.238602</c:v>
                </c:pt>
                <c:pt idx="53">
                  <c:v>1061298717.783101</c:v>
                </c:pt>
                <c:pt idx="54">
                  <c:v>1051561053.32599</c:v>
                </c:pt>
                <c:pt idx="55">
                  <c:v>1057573720.3879189</c:v>
                </c:pt>
                <c:pt idx="56">
                  <c:v>1066258908.910552</c:v>
                </c:pt>
                <c:pt idx="57">
                  <c:v>1070671819.038825</c:v>
                </c:pt>
                <c:pt idx="58">
                  <c:v>1069044088.9543639</c:v>
                </c:pt>
                <c:pt idx="59">
                  <c:v>1069044089</c:v>
                </c:pt>
                <c:pt idx="60">
                  <c:v>1075621017.972611</c:v>
                </c:pt>
                <c:pt idx="61">
                  <c:v>1068066869.046032</c:v>
                </c:pt>
                <c:pt idx="62">
                  <c:v>1076367008.7692299</c:v>
                </c:pt>
                <c:pt idx="63">
                  <c:v>1086411810.1590919</c:v>
                </c:pt>
                <c:pt idx="64">
                  <c:v>1090003813.5145919</c:v>
                </c:pt>
                <c:pt idx="65">
                  <c:v>1088016817.3680689</c:v>
                </c:pt>
                <c:pt idx="66">
                  <c:v>1088394110.1248641</c:v>
                </c:pt>
                <c:pt idx="67">
                  <c:v>1090373028.176347</c:v>
                </c:pt>
                <c:pt idx="68">
                  <c:v>1096475128.8532071</c:v>
                </c:pt>
                <c:pt idx="69">
                  <c:v>1056735762.482389</c:v>
                </c:pt>
                <c:pt idx="70">
                  <c:v>1062469931.6903501</c:v>
                </c:pt>
                <c:pt idx="71">
                  <c:v>1046093379.134887</c:v>
                </c:pt>
                <c:pt idx="72">
                  <c:v>1032307981.201636</c:v>
                </c:pt>
                <c:pt idx="73">
                  <c:v>1044125040.5752</c:v>
                </c:pt>
                <c:pt idx="74">
                  <c:v>1038578428.478261</c:v>
                </c:pt>
                <c:pt idx="75">
                  <c:v>1046067185.4412889</c:v>
                </c:pt>
                <c:pt idx="76">
                  <c:v>1054293584.917575</c:v>
                </c:pt>
                <c:pt idx="77">
                  <c:v>1065174250.3035311</c:v>
                </c:pt>
                <c:pt idx="78">
                  <c:v>1085883593.852932</c:v>
                </c:pt>
                <c:pt idx="79">
                  <c:v>1088588182.6176951</c:v>
                </c:pt>
                <c:pt idx="80">
                  <c:v>1105628471.629348</c:v>
                </c:pt>
                <c:pt idx="81">
                  <c:v>1105534424.903264</c:v>
                </c:pt>
                <c:pt idx="82">
                  <c:v>1116533810.9600079</c:v>
                </c:pt>
                <c:pt idx="83">
                  <c:v>1121085165.2961831</c:v>
                </c:pt>
                <c:pt idx="84">
                  <c:v>1117715458.4498141</c:v>
                </c:pt>
                <c:pt idx="85">
                  <c:v>1121808683.567827</c:v>
                </c:pt>
                <c:pt idx="86">
                  <c:v>1122004996.845145</c:v>
                </c:pt>
                <c:pt idx="87">
                  <c:v>1132060961.4709439</c:v>
                </c:pt>
                <c:pt idx="88">
                  <c:v>1146404549.357832</c:v>
                </c:pt>
                <c:pt idx="89">
                  <c:v>1160568473.3401871</c:v>
                </c:pt>
                <c:pt idx="90">
                  <c:v>1167246339.1968901</c:v>
                </c:pt>
                <c:pt idx="91">
                  <c:v>1168271708.3915341</c:v>
                </c:pt>
                <c:pt idx="92">
                  <c:v>1157558503.4061389</c:v>
                </c:pt>
                <c:pt idx="93">
                  <c:v>1169335244.9035921</c:v>
                </c:pt>
                <c:pt idx="94">
                  <c:v>1155772599.4887681</c:v>
                </c:pt>
                <c:pt idx="95">
                  <c:v>1161234014.601094</c:v>
                </c:pt>
                <c:pt idx="96">
                  <c:v>1172721356.2975099</c:v>
                </c:pt>
                <c:pt idx="97">
                  <c:v>1173733026.9270129</c:v>
                </c:pt>
                <c:pt idx="98">
                  <c:v>1173644650.5310969</c:v>
                </c:pt>
                <c:pt idx="99">
                  <c:v>1181007478.6156271</c:v>
                </c:pt>
                <c:pt idx="100">
                  <c:v>1185123563.3259759</c:v>
                </c:pt>
                <c:pt idx="101">
                  <c:v>1183864801.5262029</c:v>
                </c:pt>
                <c:pt idx="102">
                  <c:v>1181353630.6993899</c:v>
                </c:pt>
                <c:pt idx="103">
                  <c:v>1179857249.4542079</c:v>
                </c:pt>
                <c:pt idx="104">
                  <c:v>1181668924.236038</c:v>
                </c:pt>
                <c:pt idx="105">
                  <c:v>1190220120.6206391</c:v>
                </c:pt>
                <c:pt idx="106">
                  <c:v>1192206518.4978311</c:v>
                </c:pt>
                <c:pt idx="107">
                  <c:v>1201983647.5728071</c:v>
                </c:pt>
                <c:pt idx="108">
                  <c:v>1203068610.7753921</c:v>
                </c:pt>
                <c:pt idx="109">
                  <c:v>1192579752.6946001</c:v>
                </c:pt>
                <c:pt idx="110">
                  <c:v>1195310875.765316</c:v>
                </c:pt>
                <c:pt idx="111">
                  <c:v>1197491031.015065</c:v>
                </c:pt>
                <c:pt idx="112">
                  <c:v>1196866299.4076791</c:v>
                </c:pt>
                <c:pt idx="113">
                  <c:v>1199635422.3501191</c:v>
                </c:pt>
                <c:pt idx="114">
                  <c:v>1199851887.8499091</c:v>
                </c:pt>
                <c:pt idx="115">
                  <c:v>1193591651.271415</c:v>
                </c:pt>
                <c:pt idx="116">
                  <c:v>1191166342.467695</c:v>
                </c:pt>
                <c:pt idx="117">
                  <c:v>1196480921.436543</c:v>
                </c:pt>
                <c:pt idx="118">
                  <c:v>1196371597.454452</c:v>
                </c:pt>
                <c:pt idx="119">
                  <c:v>1189120442.8911409</c:v>
                </c:pt>
                <c:pt idx="120">
                  <c:v>1189120443</c:v>
                </c:pt>
                <c:pt idx="121">
                  <c:v>1196177850.8338101</c:v>
                </c:pt>
                <c:pt idx="122">
                  <c:v>1213890075.0338831</c:v>
                </c:pt>
                <c:pt idx="123">
                  <c:v>1226400451.9067991</c:v>
                </c:pt>
                <c:pt idx="124">
                  <c:v>1236347159.6867051</c:v>
                </c:pt>
                <c:pt idx="125">
                  <c:v>1248576967.3527429</c:v>
                </c:pt>
                <c:pt idx="126">
                  <c:v>1256527736.6810501</c:v>
                </c:pt>
                <c:pt idx="127">
                  <c:v>1249700979.6196849</c:v>
                </c:pt>
                <c:pt idx="128">
                  <c:v>1242442459.9252789</c:v>
                </c:pt>
                <c:pt idx="129">
                  <c:v>1236094358.0988679</c:v>
                </c:pt>
                <c:pt idx="130">
                  <c:v>1249659215.215925</c:v>
                </c:pt>
                <c:pt idx="131">
                  <c:v>1252175715.5623441</c:v>
                </c:pt>
                <c:pt idx="132">
                  <c:v>1231383742.803899</c:v>
                </c:pt>
                <c:pt idx="133">
                  <c:v>1233870316.2499001</c:v>
                </c:pt>
                <c:pt idx="134">
                  <c:v>1228112761.3053019</c:v>
                </c:pt>
                <c:pt idx="135">
                  <c:v>1213634561.094604</c:v>
                </c:pt>
                <c:pt idx="136">
                  <c:v>1210611452.2927959</c:v>
                </c:pt>
                <c:pt idx="137">
                  <c:v>1212088474.836962</c:v>
                </c:pt>
                <c:pt idx="138">
                  <c:v>1208820320.5239589</c:v>
                </c:pt>
                <c:pt idx="139">
                  <c:v>1215205361.665056</c:v>
                </c:pt>
                <c:pt idx="140">
                  <c:v>1216941163.3346541</c:v>
                </c:pt>
                <c:pt idx="141">
                  <c:v>1215203198.6608319</c:v>
                </c:pt>
                <c:pt idx="142">
                  <c:v>1211680696.3580201</c:v>
                </c:pt>
                <c:pt idx="143">
                  <c:v>1200558179.8626599</c:v>
                </c:pt>
                <c:pt idx="144">
                  <c:v>1199976472.7486091</c:v>
                </c:pt>
                <c:pt idx="145">
                  <c:v>1176383622.6616991</c:v>
                </c:pt>
                <c:pt idx="146">
                  <c:v>1189596239.545635</c:v>
                </c:pt>
                <c:pt idx="147">
                  <c:v>1191357007.230448</c:v>
                </c:pt>
                <c:pt idx="148">
                  <c:v>1193604590.0872331</c:v>
                </c:pt>
                <c:pt idx="149">
                  <c:v>1199225969.7826099</c:v>
                </c:pt>
                <c:pt idx="150">
                  <c:v>1202962595.0374069</c:v>
                </c:pt>
                <c:pt idx="151">
                  <c:v>1203002627.0092189</c:v>
                </c:pt>
                <c:pt idx="152">
                  <c:v>1202501122.0539279</c:v>
                </c:pt>
                <c:pt idx="153">
                  <c:v>1202348273.474123</c:v>
                </c:pt>
                <c:pt idx="154">
                  <c:v>1213850713.3268011</c:v>
                </c:pt>
                <c:pt idx="155">
                  <c:v>1216114351.9499619</c:v>
                </c:pt>
                <c:pt idx="156">
                  <c:v>1217102122.804883</c:v>
                </c:pt>
                <c:pt idx="157">
                  <c:v>1222426428.290822</c:v>
                </c:pt>
                <c:pt idx="158">
                  <c:v>1219568441.670089</c:v>
                </c:pt>
                <c:pt idx="159">
                  <c:v>1218978311.505738</c:v>
                </c:pt>
                <c:pt idx="160">
                  <c:v>1212957757.0624919</c:v>
                </c:pt>
                <c:pt idx="161">
                  <c:v>1211326332.9466641</c:v>
                </c:pt>
                <c:pt idx="162">
                  <c:v>1211655526.848397</c:v>
                </c:pt>
                <c:pt idx="163">
                  <c:v>1212982264.9425099</c:v>
                </c:pt>
                <c:pt idx="164">
                  <c:v>1218107250.4653411</c:v>
                </c:pt>
                <c:pt idx="165">
                  <c:v>1214266252.47489</c:v>
                </c:pt>
                <c:pt idx="166">
                  <c:v>1208950483.268187</c:v>
                </c:pt>
                <c:pt idx="167">
                  <c:v>1212592914.6569049</c:v>
                </c:pt>
                <c:pt idx="168">
                  <c:v>1210952406.2355411</c:v>
                </c:pt>
                <c:pt idx="169">
                  <c:v>1209003681.260216</c:v>
                </c:pt>
                <c:pt idx="170">
                  <c:v>1208908737.864918</c:v>
                </c:pt>
                <c:pt idx="171">
                  <c:v>1206322608.9847851</c:v>
                </c:pt>
                <c:pt idx="172">
                  <c:v>1209399534.149157</c:v>
                </c:pt>
                <c:pt idx="173">
                  <c:v>1203994770.681998</c:v>
                </c:pt>
                <c:pt idx="174">
                  <c:v>1210688645.7262521</c:v>
                </c:pt>
                <c:pt idx="175">
                  <c:v>1211835637.54338</c:v>
                </c:pt>
                <c:pt idx="176">
                  <c:v>1208982200.4696591</c:v>
                </c:pt>
                <c:pt idx="177">
                  <c:v>1210912273.1432071</c:v>
                </c:pt>
                <c:pt idx="178">
                  <c:v>1201025322.0468819</c:v>
                </c:pt>
                <c:pt idx="179">
                  <c:v>1206070429.383719</c:v>
                </c:pt>
                <c:pt idx="180">
                  <c:v>1204047969.02846</c:v>
                </c:pt>
                <c:pt idx="181">
                  <c:v>1206797366.5767069</c:v>
                </c:pt>
                <c:pt idx="182">
                  <c:v>1206688564.8106771</c:v>
                </c:pt>
                <c:pt idx="183">
                  <c:v>1204800772.5419359</c:v>
                </c:pt>
                <c:pt idx="184">
                  <c:v>1204800773</c:v>
                </c:pt>
                <c:pt idx="185">
                  <c:v>1198465020.2591081</c:v>
                </c:pt>
                <c:pt idx="186">
                  <c:v>1185260409.692868</c:v>
                </c:pt>
                <c:pt idx="187">
                  <c:v>1179452515.735213</c:v>
                </c:pt>
                <c:pt idx="188">
                  <c:v>1178487042.109442</c:v>
                </c:pt>
                <c:pt idx="189">
                  <c:v>1179779996.3541811</c:v>
                </c:pt>
                <c:pt idx="190">
                  <c:v>1179709896.1637959</c:v>
                </c:pt>
                <c:pt idx="191">
                  <c:v>1187464582.564446</c:v>
                </c:pt>
                <c:pt idx="192">
                  <c:v>1184909220.6128941</c:v>
                </c:pt>
                <c:pt idx="193">
                  <c:v>1180573311.8495841</c:v>
                </c:pt>
                <c:pt idx="194">
                  <c:v>1183199571.585048</c:v>
                </c:pt>
                <c:pt idx="195">
                  <c:v>1182443934.1211829</c:v>
                </c:pt>
                <c:pt idx="196">
                  <c:v>1186812211.430656</c:v>
                </c:pt>
                <c:pt idx="197">
                  <c:v>1188635277.4545701</c:v>
                </c:pt>
                <c:pt idx="198">
                  <c:v>1181646034.33252</c:v>
                </c:pt>
                <c:pt idx="199">
                  <c:v>1172417997.581074</c:v>
                </c:pt>
                <c:pt idx="200">
                  <c:v>1177070660.659065</c:v>
                </c:pt>
                <c:pt idx="201">
                  <c:v>1179217185.550657</c:v>
                </c:pt>
                <c:pt idx="202">
                  <c:v>1177773866.2880681</c:v>
                </c:pt>
                <c:pt idx="203">
                  <c:v>1176130931.205265</c:v>
                </c:pt>
                <c:pt idx="204">
                  <c:v>1180803816.9784579</c:v>
                </c:pt>
                <c:pt idx="205">
                  <c:v>1180658957.884434</c:v>
                </c:pt>
                <c:pt idx="206">
                  <c:v>1187456394.4327869</c:v>
                </c:pt>
                <c:pt idx="207">
                  <c:v>1189461766.0427201</c:v>
                </c:pt>
                <c:pt idx="208">
                  <c:v>1189198271.9132459</c:v>
                </c:pt>
                <c:pt idx="209">
                  <c:v>1190208068.605144</c:v>
                </c:pt>
                <c:pt idx="210">
                  <c:v>1202213193.1844029</c:v>
                </c:pt>
                <c:pt idx="211">
                  <c:v>1202284020.5790191</c:v>
                </c:pt>
                <c:pt idx="212">
                  <c:v>1199653461.103065</c:v>
                </c:pt>
                <c:pt idx="213">
                  <c:v>1193877395.2637751</c:v>
                </c:pt>
                <c:pt idx="214">
                  <c:v>1189462757.6885951</c:v>
                </c:pt>
                <c:pt idx="215">
                  <c:v>1189646782.9378829</c:v>
                </c:pt>
                <c:pt idx="216">
                  <c:v>1187605415.39361</c:v>
                </c:pt>
                <c:pt idx="217">
                  <c:v>1181405557.533833</c:v>
                </c:pt>
                <c:pt idx="218">
                  <c:v>1189533969.647089</c:v>
                </c:pt>
                <c:pt idx="219">
                  <c:v>1188267893.1375079</c:v>
                </c:pt>
                <c:pt idx="220">
                  <c:v>1199090197.8093989</c:v>
                </c:pt>
                <c:pt idx="221">
                  <c:v>1206896751.3900809</c:v>
                </c:pt>
                <c:pt idx="222">
                  <c:v>1207921523.455601</c:v>
                </c:pt>
                <c:pt idx="223">
                  <c:v>1212794549.7714469</c:v>
                </c:pt>
                <c:pt idx="224">
                  <c:v>1212100486.165863</c:v>
                </c:pt>
                <c:pt idx="225">
                  <c:v>1213149441.76229</c:v>
                </c:pt>
                <c:pt idx="226">
                  <c:v>1223360439.2220571</c:v>
                </c:pt>
                <c:pt idx="227">
                  <c:v>1229984320.1612861</c:v>
                </c:pt>
                <c:pt idx="228">
                  <c:v>1228855078.075783</c:v>
                </c:pt>
                <c:pt idx="229">
                  <c:v>1230485690.273618</c:v>
                </c:pt>
                <c:pt idx="230">
                  <c:v>1227503217.765599</c:v>
                </c:pt>
                <c:pt idx="231">
                  <c:v>1240722619.014606</c:v>
                </c:pt>
                <c:pt idx="232">
                  <c:v>1238724792.8274469</c:v>
                </c:pt>
                <c:pt idx="233">
                  <c:v>1235128887.9390759</c:v>
                </c:pt>
                <c:pt idx="234">
                  <c:v>1235703926.288269</c:v>
                </c:pt>
                <c:pt idx="235">
                  <c:v>1236308754.4753511</c:v>
                </c:pt>
                <c:pt idx="236">
                  <c:v>1236521891.482249</c:v>
                </c:pt>
                <c:pt idx="237">
                  <c:v>1235789813.5516729</c:v>
                </c:pt>
                <c:pt idx="238">
                  <c:v>1238499582.02143</c:v>
                </c:pt>
                <c:pt idx="239">
                  <c:v>1236984621.0840571</c:v>
                </c:pt>
                <c:pt idx="240">
                  <c:v>1235982814.4954309</c:v>
                </c:pt>
                <c:pt idx="241">
                  <c:v>1232015781.5702879</c:v>
                </c:pt>
                <c:pt idx="242">
                  <c:v>1230725488.836185</c:v>
                </c:pt>
                <c:pt idx="243">
                  <c:v>1233907586.089396</c:v>
                </c:pt>
                <c:pt idx="244">
                  <c:v>1235464396.9588189</c:v>
                </c:pt>
                <c:pt idx="245">
                  <c:v>1238101968.374933</c:v>
                </c:pt>
                <c:pt idx="246">
                  <c:v>1240270509.5778351</c:v>
                </c:pt>
                <c:pt idx="247">
                  <c:v>1243434247.3976729</c:v>
                </c:pt>
                <c:pt idx="248">
                  <c:v>1245182276.747036</c:v>
                </c:pt>
                <c:pt idx="249">
                  <c:v>1244434713.5256779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3EF-4CC2-ABA1-E984CD896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36879"/>
        <c:axId val="1550887375"/>
      </c:lineChart>
      <c:dateAx>
        <c:axId val="154973687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887375"/>
        <c:crosses val="autoZero"/>
        <c:auto val="1"/>
        <c:lblOffset val="100"/>
        <c:baseTimeUnit val="days"/>
      </c:dateAx>
      <c:valAx>
        <c:axId val="1550887375"/>
        <c:scaling>
          <c:orientation val="minMax"/>
          <c:min val="95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36879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3863215257308917E-2"/>
                <c:y val="0.1790064158307979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320841</xdr:colOff>
      <xdr:row>2</xdr:row>
      <xdr:rowOff>20052</xdr:rowOff>
    </xdr:from>
    <xdr:to>
      <xdr:col>13</xdr:col>
      <xdr:colOff>100263</xdr:colOff>
      <xdr:row>17</xdr:row>
      <xdr:rowOff>1002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B9272-0167-4A7E-A6A7-5F76AF853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K14" sqref="K14"/>
    </sheetView>
  </sheetViews>
  <sheetFormatPr defaultRowHeight="14.5" x14ac:dyDescent="0.35"/>
  <cols>
    <col min="1" max="5" width="19.6328125" customWidth="1"/>
  </cols>
  <sheetData>
    <row r="1" spans="1:7" x14ac:dyDescent="0.35">
      <c r="A1" s="1" t="s">
        <v>0</v>
      </c>
      <c r="B1" s="8" t="s">
        <v>23</v>
      </c>
      <c r="C1" s="8" t="s">
        <v>37</v>
      </c>
      <c r="D1" s="1" t="s">
        <v>38</v>
      </c>
      <c r="E1" s="1" t="s">
        <v>42</v>
      </c>
    </row>
    <row r="2" spans="1:7" x14ac:dyDescent="0.35">
      <c r="A2" s="9" t="s">
        <v>1</v>
      </c>
      <c r="B2" s="10">
        <v>1000000000</v>
      </c>
      <c r="C2" s="10">
        <v>1069044089</v>
      </c>
      <c r="D2" s="10">
        <v>1189120443</v>
      </c>
      <c r="E2" s="10">
        <v>1204800773</v>
      </c>
    </row>
    <row r="3" spans="1:7" x14ac:dyDescent="0.35">
      <c r="A3" s="9" t="s">
        <v>2</v>
      </c>
      <c r="B3" s="10">
        <v>1069044088.9543639</v>
      </c>
      <c r="C3" s="10">
        <v>1189120442.8911409</v>
      </c>
      <c r="D3" s="10">
        <v>1204800772.5419359</v>
      </c>
      <c r="E3" s="10">
        <v>1244434713.5256779</v>
      </c>
    </row>
    <row r="4" spans="1:7" x14ac:dyDescent="0.35">
      <c r="A4" s="9" t="s">
        <v>3</v>
      </c>
      <c r="B4" s="10">
        <v>69044088.9543643</v>
      </c>
      <c r="C4" s="10">
        <v>120076353.89114121</v>
      </c>
      <c r="D4" s="10">
        <v>15680329.541936159</v>
      </c>
      <c r="E4" s="10">
        <v>39633940.525677681</v>
      </c>
      <c r="G4" s="13">
        <f>(E3-B2)/B2</f>
        <v>0.24443471352567792</v>
      </c>
    </row>
    <row r="5" spans="1:7" x14ac:dyDescent="0.35">
      <c r="A5" s="9" t="s">
        <v>21</v>
      </c>
      <c r="B5" s="16">
        <v>6.9044088954364299E-2</v>
      </c>
      <c r="C5" s="16">
        <v>0.112321236445414</v>
      </c>
      <c r="D5" s="16">
        <v>1.318649396219E-2</v>
      </c>
      <c r="E5" s="16">
        <v>3.2896675876948202E-2</v>
      </c>
    </row>
    <row r="6" spans="1:7" x14ac:dyDescent="0.35">
      <c r="A6" s="9" t="s">
        <v>4</v>
      </c>
      <c r="B6" s="16">
        <v>-5.55414903070445E-2</v>
      </c>
      <c r="C6" s="16">
        <v>-5.8521297896361998E-2</v>
      </c>
      <c r="D6" s="16">
        <v>-6.3782208446142602E-2</v>
      </c>
      <c r="E6" s="16">
        <v>-2.6878116402840699E-2</v>
      </c>
    </row>
    <row r="7" spans="1:7" x14ac:dyDescent="0.35">
      <c r="A7" s="9" t="s">
        <v>5</v>
      </c>
      <c r="B7" s="16">
        <v>-5.2436767852660701E-2</v>
      </c>
      <c r="C7" s="16">
        <v>-3.4363510519689701E-2</v>
      </c>
      <c r="D7" s="16">
        <v>-1.07111272144709E-2</v>
      </c>
      <c r="E7" s="16">
        <v>-2.6878116402840699E-2</v>
      </c>
    </row>
    <row r="8" spans="1:7" x14ac:dyDescent="0.35">
      <c r="A8" s="9" t="s">
        <v>64</v>
      </c>
      <c r="B8" s="16">
        <v>0.7</v>
      </c>
      <c r="C8" s="16">
        <v>0.64285714285714302</v>
      </c>
      <c r="D8" s="16">
        <v>0.42857142857142799</v>
      </c>
      <c r="E8" s="16">
        <v>0.5625</v>
      </c>
    </row>
    <row r="9" spans="1:7" x14ac:dyDescent="0.35">
      <c r="A9" s="9" t="s">
        <v>65</v>
      </c>
      <c r="B9" s="16">
        <f>COUNTIF(Trades_Log!H3:H12,"Take Profit")/ROWS(Trades_Log!A3:A12)</f>
        <v>0.3</v>
      </c>
      <c r="C9" s="16">
        <f>COUNTIF(Trades_Log!H14:H27,"Take Profit")/ROWS(Trades_Log!H14:H27)</f>
        <v>0.42857142857142855</v>
      </c>
      <c r="D9" s="16">
        <f>COUNTIF(Trades_Log!H29:H42,"Take Profit")/ROWS(Trades_Log!H29:H42)</f>
        <v>0.21428571428571427</v>
      </c>
      <c r="E9" s="16">
        <f>COUNTIF(Trades_Log!H44:H59,"Take Profit")/ROWS(Trades_Log!H44:H59)</f>
        <v>0.25</v>
      </c>
    </row>
    <row r="10" spans="1:7" x14ac:dyDescent="0.35">
      <c r="A10" s="9" t="s">
        <v>66</v>
      </c>
      <c r="B10" s="16">
        <f>COUNTIF(Trades_Log!H3:H12,"Stop Loss")/ROWS(Trades_Log!A3:A12)</f>
        <v>0</v>
      </c>
      <c r="C10" s="16">
        <f>COUNTIF(Trades_Log!H14:H27,"Stop Loss")/ROWS(Trades_Log!H14:H27)</f>
        <v>0.14285714285714285</v>
      </c>
      <c r="D10" s="16">
        <f>COUNTIF(Trades_Log!H29:H42,"Stop Loss")/ROWS(Trades_Log!H29:H42)</f>
        <v>0.21428571428571427</v>
      </c>
      <c r="E10" s="16">
        <f>COUNTIF(Trades_Log!H44:H59,"Stop Loss")/ROWS(Trades_Log!H44:H59)</f>
        <v>0.125</v>
      </c>
    </row>
    <row r="11" spans="1:7" x14ac:dyDescent="0.35">
      <c r="A11" s="20" t="s">
        <v>96</v>
      </c>
      <c r="B11" s="21">
        <f>1-SUM(B9:B10)</f>
        <v>0.7</v>
      </c>
      <c r="C11" s="21">
        <f t="shared" ref="C11:E11" si="0">1-SUM(C9:C10)</f>
        <v>0.4285714285714286</v>
      </c>
      <c r="D11" s="21">
        <f t="shared" si="0"/>
        <v>0.5714285714285714</v>
      </c>
      <c r="E11" s="21">
        <f t="shared" si="0"/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1"/>
  <sheetViews>
    <sheetView tabSelected="1" zoomScale="95" zoomScaleNormal="95" workbookViewId="0">
      <selection activeCell="P9" sqref="P9"/>
    </sheetView>
  </sheetViews>
  <sheetFormatPr defaultRowHeight="14.5" x14ac:dyDescent="0.35"/>
  <cols>
    <col min="1" max="2" width="20.453125" customWidth="1"/>
    <col min="3" max="3" width="9" customWidth="1"/>
  </cols>
  <sheetData>
    <row r="1" spans="1:2" x14ac:dyDescent="0.35">
      <c r="A1" s="2" t="s">
        <v>6</v>
      </c>
      <c r="B1" s="5" t="s">
        <v>7</v>
      </c>
    </row>
    <row r="2" spans="1:2" x14ac:dyDescent="0.35">
      <c r="A2" s="3">
        <v>45293</v>
      </c>
      <c r="B2" s="4">
        <v>1000000000</v>
      </c>
    </row>
    <row r="3" spans="1:2" x14ac:dyDescent="0.35">
      <c r="A3" s="3">
        <v>45294</v>
      </c>
      <c r="B3" s="4">
        <v>1003287304.230435</v>
      </c>
    </row>
    <row r="4" spans="1:2" x14ac:dyDescent="0.35">
      <c r="A4" s="3">
        <v>45295</v>
      </c>
      <c r="B4" s="4">
        <v>992308305.34875</v>
      </c>
    </row>
    <row r="5" spans="1:2" x14ac:dyDescent="0.35">
      <c r="A5" s="3">
        <v>45296</v>
      </c>
      <c r="B5" s="4">
        <v>984765466.6350261</v>
      </c>
    </row>
    <row r="6" spans="1:2" x14ac:dyDescent="0.35">
      <c r="A6" s="3">
        <v>45299</v>
      </c>
      <c r="B6" s="4">
        <v>975318560.5017755</v>
      </c>
    </row>
    <row r="7" spans="1:2" x14ac:dyDescent="0.35">
      <c r="A7" s="3">
        <v>45300</v>
      </c>
      <c r="B7" s="4">
        <v>980133089.63034034</v>
      </c>
    </row>
    <row r="8" spans="1:2" x14ac:dyDescent="0.35">
      <c r="A8" s="3">
        <v>45301</v>
      </c>
      <c r="B8" s="4">
        <v>977905215.76795757</v>
      </c>
    </row>
    <row r="9" spans="1:2" x14ac:dyDescent="0.35">
      <c r="A9" s="3">
        <v>45302</v>
      </c>
      <c r="B9" s="4">
        <v>983816061.82142913</v>
      </c>
    </row>
    <row r="10" spans="1:2" x14ac:dyDescent="0.35">
      <c r="A10" s="3">
        <v>45303</v>
      </c>
      <c r="B10" s="4">
        <v>962972896.91315341</v>
      </c>
    </row>
    <row r="11" spans="1:2" x14ac:dyDescent="0.35">
      <c r="A11" s="3">
        <v>45306</v>
      </c>
      <c r="B11" s="4">
        <v>947563232.14733934</v>
      </c>
    </row>
    <row r="12" spans="1:2" x14ac:dyDescent="0.35">
      <c r="A12" s="3">
        <v>45307</v>
      </c>
      <c r="B12" s="4">
        <v>952253444.31479621</v>
      </c>
    </row>
    <row r="13" spans="1:2" x14ac:dyDescent="0.35">
      <c r="A13" s="3">
        <v>45308</v>
      </c>
      <c r="B13" s="4">
        <v>958706492.86414027</v>
      </c>
    </row>
    <row r="14" spans="1:2" x14ac:dyDescent="0.35">
      <c r="A14" s="3">
        <v>45309</v>
      </c>
      <c r="B14" s="4">
        <v>957433056.87104499</v>
      </c>
    </row>
    <row r="15" spans="1:2" x14ac:dyDescent="0.35">
      <c r="A15" s="3">
        <v>45310</v>
      </c>
      <c r="B15" s="4">
        <v>964838269.38079476</v>
      </c>
    </row>
    <row r="16" spans="1:2" x14ac:dyDescent="0.35">
      <c r="A16" s="3">
        <v>45313</v>
      </c>
      <c r="B16" s="4">
        <v>976736029.34896851</v>
      </c>
    </row>
    <row r="17" spans="1:2" x14ac:dyDescent="0.35">
      <c r="A17" s="3">
        <v>45314</v>
      </c>
      <c r="B17" s="4">
        <v>980399268.79408324</v>
      </c>
    </row>
    <row r="18" spans="1:2" x14ac:dyDescent="0.35">
      <c r="A18" s="3">
        <v>45315</v>
      </c>
      <c r="B18" s="4">
        <v>973521231.45629513</v>
      </c>
    </row>
    <row r="19" spans="1:2" x14ac:dyDescent="0.35">
      <c r="A19" s="3">
        <v>45316</v>
      </c>
      <c r="B19" s="4">
        <v>984048057.63369572</v>
      </c>
    </row>
    <row r="20" spans="1:2" x14ac:dyDescent="0.35">
      <c r="A20" s="3">
        <v>45317</v>
      </c>
      <c r="B20" s="4">
        <v>989617099.28111458</v>
      </c>
    </row>
    <row r="21" spans="1:2" x14ac:dyDescent="0.35">
      <c r="A21" s="3">
        <v>45320</v>
      </c>
      <c r="B21" s="4">
        <v>995512597.23673797</v>
      </c>
    </row>
    <row r="22" spans="1:2" x14ac:dyDescent="0.35">
      <c r="A22" s="3">
        <v>45321</v>
      </c>
      <c r="B22" s="4">
        <v>1007028773.499182</v>
      </c>
    </row>
    <row r="23" spans="1:2" x14ac:dyDescent="0.35">
      <c r="A23" s="3">
        <v>45322</v>
      </c>
      <c r="B23" s="4">
        <v>994429543.00233352</v>
      </c>
    </row>
    <row r="24" spans="1:2" x14ac:dyDescent="0.35">
      <c r="A24" s="3">
        <v>45323</v>
      </c>
      <c r="B24" s="4">
        <v>1020111269.905252</v>
      </c>
    </row>
    <row r="25" spans="1:2" x14ac:dyDescent="0.35">
      <c r="A25" s="3">
        <v>45324</v>
      </c>
      <c r="B25" s="4">
        <v>1019434889.9079649</v>
      </c>
    </row>
    <row r="26" spans="1:2" x14ac:dyDescent="0.35">
      <c r="A26" s="3">
        <v>45327</v>
      </c>
      <c r="B26" s="4">
        <v>1017535547.660918</v>
      </c>
    </row>
    <row r="27" spans="1:2" x14ac:dyDescent="0.35">
      <c r="A27" s="3">
        <v>45328</v>
      </c>
      <c r="B27" s="4">
        <v>1017250381.6339689</v>
      </c>
    </row>
    <row r="28" spans="1:2" x14ac:dyDescent="0.35">
      <c r="A28" s="3">
        <v>45329</v>
      </c>
      <c r="B28" s="4">
        <v>1020233588.1632</v>
      </c>
    </row>
    <row r="29" spans="1:2" x14ac:dyDescent="0.35">
      <c r="A29" s="3">
        <v>45337</v>
      </c>
      <c r="B29" s="4">
        <v>1020477484.067975</v>
      </c>
    </row>
    <row r="30" spans="1:2" x14ac:dyDescent="0.35">
      <c r="A30" s="3">
        <v>45338</v>
      </c>
      <c r="B30" s="4">
        <v>1013562562.8382061</v>
      </c>
    </row>
    <row r="31" spans="1:2" x14ac:dyDescent="0.35">
      <c r="A31" s="3">
        <v>45341</v>
      </c>
      <c r="B31" s="4">
        <v>1011757663.991846</v>
      </c>
    </row>
    <row r="32" spans="1:2" x14ac:dyDescent="0.35">
      <c r="A32" s="3">
        <v>45342</v>
      </c>
      <c r="B32" s="4">
        <v>1008800692.663083</v>
      </c>
    </row>
    <row r="33" spans="1:2" x14ac:dyDescent="0.35">
      <c r="A33" s="3">
        <v>45343</v>
      </c>
      <c r="B33" s="4">
        <v>1018125312.341459</v>
      </c>
    </row>
    <row r="34" spans="1:2" x14ac:dyDescent="0.35">
      <c r="A34" s="3">
        <v>45344</v>
      </c>
      <c r="B34" s="4">
        <v>1027980590.533097</v>
      </c>
    </row>
    <row r="35" spans="1:2" x14ac:dyDescent="0.35">
      <c r="A35" s="3">
        <v>45345</v>
      </c>
      <c r="B35" s="4">
        <v>1019418319.605674</v>
      </c>
    </row>
    <row r="36" spans="1:2" x14ac:dyDescent="0.35">
      <c r="A36" s="3">
        <v>45348</v>
      </c>
      <c r="B36" s="4">
        <v>1035364324.726227</v>
      </c>
    </row>
    <row r="37" spans="1:2" x14ac:dyDescent="0.35">
      <c r="A37" s="3">
        <v>45349</v>
      </c>
      <c r="B37" s="4">
        <v>1042887583.160657</v>
      </c>
    </row>
    <row r="38" spans="1:2" x14ac:dyDescent="0.35">
      <c r="A38" s="3">
        <v>45350</v>
      </c>
      <c r="B38" s="4">
        <v>1045115337.0547971</v>
      </c>
    </row>
    <row r="39" spans="1:2" x14ac:dyDescent="0.35">
      <c r="A39" s="3">
        <v>45351</v>
      </c>
      <c r="B39" s="4">
        <v>1044559625.297689</v>
      </c>
    </row>
    <row r="40" spans="1:2" x14ac:dyDescent="0.35">
      <c r="A40" s="3">
        <v>45352</v>
      </c>
      <c r="B40" s="4">
        <v>1057439801.731403</v>
      </c>
    </row>
    <row r="41" spans="1:2" x14ac:dyDescent="0.35">
      <c r="A41" s="3">
        <v>45355</v>
      </c>
      <c r="B41" s="4">
        <v>1053143568.982638</v>
      </c>
    </row>
    <row r="42" spans="1:2" x14ac:dyDescent="0.35">
      <c r="A42" s="3">
        <v>45356</v>
      </c>
      <c r="B42" s="4">
        <v>1059281360.4303271</v>
      </c>
    </row>
    <row r="43" spans="1:2" x14ac:dyDescent="0.35">
      <c r="A43" s="3">
        <v>45357</v>
      </c>
      <c r="B43" s="4">
        <v>1051740190.752761</v>
      </c>
    </row>
    <row r="44" spans="1:2" x14ac:dyDescent="0.35">
      <c r="A44" s="3">
        <v>45358</v>
      </c>
      <c r="B44" s="4">
        <v>1059140622.5144</v>
      </c>
    </row>
    <row r="45" spans="1:2" x14ac:dyDescent="0.35">
      <c r="A45" s="3">
        <v>45359</v>
      </c>
      <c r="B45" s="4">
        <v>1047562478.788648</v>
      </c>
    </row>
    <row r="46" spans="1:2" x14ac:dyDescent="0.35">
      <c r="A46" s="3">
        <v>45362</v>
      </c>
      <c r="B46" s="4">
        <v>1047370725.332471</v>
      </c>
    </row>
    <row r="47" spans="1:2" x14ac:dyDescent="0.35">
      <c r="A47" s="3">
        <v>45363</v>
      </c>
      <c r="B47" s="4">
        <v>1069279992.0127161</v>
      </c>
    </row>
    <row r="48" spans="1:2" x14ac:dyDescent="0.35">
      <c r="A48" s="3">
        <v>45364</v>
      </c>
      <c r="B48" s="4">
        <v>1080701590.5969541</v>
      </c>
    </row>
    <row r="49" spans="1:2" x14ac:dyDescent="0.35">
      <c r="A49" s="3">
        <v>45365</v>
      </c>
      <c r="B49" s="4">
        <v>1075306036.216192</v>
      </c>
    </row>
    <row r="50" spans="1:2" x14ac:dyDescent="0.35">
      <c r="A50" s="3">
        <v>45366</v>
      </c>
      <c r="B50" s="4">
        <v>1076614567.9814329</v>
      </c>
    </row>
    <row r="51" spans="1:2" x14ac:dyDescent="0.35">
      <c r="A51" s="3">
        <v>45369</v>
      </c>
      <c r="B51" s="4">
        <v>1058526483.256389</v>
      </c>
    </row>
    <row r="52" spans="1:2" x14ac:dyDescent="0.35">
      <c r="A52" s="3">
        <v>45370</v>
      </c>
      <c r="B52" s="4">
        <v>1053848276.7981139</v>
      </c>
    </row>
    <row r="53" spans="1:2" x14ac:dyDescent="0.35">
      <c r="A53" s="3">
        <v>45371</v>
      </c>
      <c r="B53" s="4">
        <v>1065172680.022918</v>
      </c>
    </row>
    <row r="54" spans="1:2" x14ac:dyDescent="0.35">
      <c r="A54" s="3">
        <v>45372</v>
      </c>
      <c r="B54" s="4">
        <v>1063723101.238602</v>
      </c>
    </row>
    <row r="55" spans="1:2" x14ac:dyDescent="0.35">
      <c r="A55" s="3">
        <v>45373</v>
      </c>
      <c r="B55" s="4">
        <v>1061298717.783101</v>
      </c>
    </row>
    <row r="56" spans="1:2" x14ac:dyDescent="0.35">
      <c r="A56" s="3">
        <v>45376</v>
      </c>
      <c r="B56" s="4">
        <v>1051561053.32599</v>
      </c>
    </row>
    <row r="57" spans="1:2" x14ac:dyDescent="0.35">
      <c r="A57" s="3">
        <v>45377</v>
      </c>
      <c r="B57" s="4">
        <v>1057573720.3879189</v>
      </c>
    </row>
    <row r="58" spans="1:2" x14ac:dyDescent="0.35">
      <c r="A58" s="3">
        <v>45378</v>
      </c>
      <c r="B58" s="4">
        <v>1066258908.910552</v>
      </c>
    </row>
    <row r="59" spans="1:2" x14ac:dyDescent="0.35">
      <c r="A59" s="3">
        <v>45379</v>
      </c>
      <c r="B59" s="4">
        <v>1070671819.038825</v>
      </c>
    </row>
    <row r="60" spans="1:2" x14ac:dyDescent="0.35">
      <c r="A60" s="3">
        <v>45380</v>
      </c>
      <c r="B60" s="4">
        <v>1069044088.9543639</v>
      </c>
    </row>
    <row r="61" spans="1:2" x14ac:dyDescent="0.35">
      <c r="A61" s="3">
        <v>45383</v>
      </c>
      <c r="B61" s="4">
        <v>1069044089</v>
      </c>
    </row>
    <row r="62" spans="1:2" x14ac:dyDescent="0.35">
      <c r="A62" s="3">
        <v>45384</v>
      </c>
      <c r="B62" s="4">
        <v>1075621017.972611</v>
      </c>
    </row>
    <row r="63" spans="1:2" x14ac:dyDescent="0.35">
      <c r="A63" s="3">
        <v>45385</v>
      </c>
      <c r="B63" s="4">
        <v>1068066869.046032</v>
      </c>
    </row>
    <row r="64" spans="1:2" x14ac:dyDescent="0.35">
      <c r="A64" s="3">
        <v>45386</v>
      </c>
      <c r="B64" s="4">
        <v>1076367008.7692299</v>
      </c>
    </row>
    <row r="65" spans="1:2" x14ac:dyDescent="0.35">
      <c r="A65" s="3">
        <v>45387</v>
      </c>
      <c r="B65" s="4">
        <v>1086411810.1590919</v>
      </c>
    </row>
    <row r="66" spans="1:2" x14ac:dyDescent="0.35">
      <c r="A66" s="3">
        <v>45390</v>
      </c>
      <c r="B66" s="4">
        <v>1090003813.5145919</v>
      </c>
    </row>
    <row r="67" spans="1:2" x14ac:dyDescent="0.35">
      <c r="A67" s="3">
        <v>45391</v>
      </c>
      <c r="B67" s="4">
        <v>1088016817.3680689</v>
      </c>
    </row>
    <row r="68" spans="1:2" x14ac:dyDescent="0.35">
      <c r="A68" s="3">
        <v>45392</v>
      </c>
      <c r="B68" s="4">
        <v>1088394110.1248641</v>
      </c>
    </row>
    <row r="69" spans="1:2" x14ac:dyDescent="0.35">
      <c r="A69" s="3">
        <v>45393</v>
      </c>
      <c r="B69" s="4">
        <v>1090373028.176347</v>
      </c>
    </row>
    <row r="70" spans="1:2" x14ac:dyDescent="0.35">
      <c r="A70" s="3">
        <v>45394</v>
      </c>
      <c r="B70" s="4">
        <v>1096475128.8532071</v>
      </c>
    </row>
    <row r="71" spans="1:2" x14ac:dyDescent="0.35">
      <c r="A71" s="3">
        <v>45397</v>
      </c>
      <c r="B71" s="4">
        <v>1056735762.482389</v>
      </c>
    </row>
    <row r="72" spans="1:2" x14ac:dyDescent="0.35">
      <c r="A72" s="3">
        <v>45398</v>
      </c>
      <c r="B72" s="4">
        <v>1062469931.6903501</v>
      </c>
    </row>
    <row r="73" spans="1:2" x14ac:dyDescent="0.35">
      <c r="A73" s="3">
        <v>45399</v>
      </c>
      <c r="B73" s="4">
        <v>1046093379.134887</v>
      </c>
    </row>
    <row r="74" spans="1:2" x14ac:dyDescent="0.35">
      <c r="A74" s="3">
        <v>45401</v>
      </c>
      <c r="B74" s="4">
        <v>1032307981.201636</v>
      </c>
    </row>
    <row r="75" spans="1:2" x14ac:dyDescent="0.35">
      <c r="A75" s="3">
        <v>45404</v>
      </c>
      <c r="B75" s="4">
        <v>1044125040.5752</v>
      </c>
    </row>
    <row r="76" spans="1:2" x14ac:dyDescent="0.35">
      <c r="A76" s="3">
        <v>45405</v>
      </c>
      <c r="B76" s="4">
        <v>1038578428.478261</v>
      </c>
    </row>
    <row r="77" spans="1:2" x14ac:dyDescent="0.35">
      <c r="A77" s="3">
        <v>45406</v>
      </c>
      <c r="B77" s="4">
        <v>1046067185.4412889</v>
      </c>
    </row>
    <row r="78" spans="1:2" x14ac:dyDescent="0.35">
      <c r="A78" s="3">
        <v>45407</v>
      </c>
      <c r="B78" s="4">
        <v>1054293584.917575</v>
      </c>
    </row>
    <row r="79" spans="1:2" x14ac:dyDescent="0.35">
      <c r="A79" s="3">
        <v>45408</v>
      </c>
      <c r="B79" s="4">
        <v>1065174250.3035311</v>
      </c>
    </row>
    <row r="80" spans="1:2" x14ac:dyDescent="0.35">
      <c r="A80" s="3">
        <v>45414</v>
      </c>
      <c r="B80" s="4">
        <v>1085883593.852932</v>
      </c>
    </row>
    <row r="81" spans="1:2" x14ac:dyDescent="0.35">
      <c r="A81" s="3">
        <v>45415</v>
      </c>
      <c r="B81" s="4">
        <v>1088588182.6176951</v>
      </c>
    </row>
    <row r="82" spans="1:2" x14ac:dyDescent="0.35">
      <c r="A82" s="3">
        <v>45418</v>
      </c>
      <c r="B82" s="4">
        <v>1105628471.629348</v>
      </c>
    </row>
    <row r="83" spans="1:2" x14ac:dyDescent="0.35">
      <c r="A83" s="3">
        <v>45419</v>
      </c>
      <c r="B83" s="4">
        <v>1105534424.903264</v>
      </c>
    </row>
    <row r="84" spans="1:2" x14ac:dyDescent="0.35">
      <c r="A84" s="3">
        <v>45420</v>
      </c>
      <c r="B84" s="4">
        <v>1116533810.9600079</v>
      </c>
    </row>
    <row r="85" spans="1:2" x14ac:dyDescent="0.35">
      <c r="A85" s="3">
        <v>45421</v>
      </c>
      <c r="B85" s="4">
        <v>1121085165.2961831</v>
      </c>
    </row>
    <row r="86" spans="1:2" x14ac:dyDescent="0.35">
      <c r="A86" s="3">
        <v>45422</v>
      </c>
      <c r="B86" s="4">
        <v>1117715458.4498141</v>
      </c>
    </row>
    <row r="87" spans="1:2" x14ac:dyDescent="0.35">
      <c r="A87" s="3">
        <v>45425</v>
      </c>
      <c r="B87" s="4">
        <v>1121808683.567827</v>
      </c>
    </row>
    <row r="88" spans="1:2" x14ac:dyDescent="0.35">
      <c r="A88" s="3">
        <v>45426</v>
      </c>
      <c r="B88" s="4">
        <v>1122004996.845145</v>
      </c>
    </row>
    <row r="89" spans="1:2" x14ac:dyDescent="0.35">
      <c r="A89" s="3">
        <v>45427</v>
      </c>
      <c r="B89" s="4">
        <v>1132060961.4709439</v>
      </c>
    </row>
    <row r="90" spans="1:2" x14ac:dyDescent="0.35">
      <c r="A90" s="3">
        <v>45428</v>
      </c>
      <c r="B90" s="4">
        <v>1146404549.357832</v>
      </c>
    </row>
    <row r="91" spans="1:2" x14ac:dyDescent="0.35">
      <c r="A91" s="3">
        <v>45429</v>
      </c>
      <c r="B91" s="4">
        <v>1160568473.3401871</v>
      </c>
    </row>
    <row r="92" spans="1:2" x14ac:dyDescent="0.35">
      <c r="A92" s="3">
        <v>45432</v>
      </c>
      <c r="B92" s="4">
        <v>1167246339.1968901</v>
      </c>
    </row>
    <row r="93" spans="1:2" x14ac:dyDescent="0.35">
      <c r="A93" s="3">
        <v>45433</v>
      </c>
      <c r="B93" s="4">
        <v>1168271708.3915341</v>
      </c>
    </row>
    <row r="94" spans="1:2" x14ac:dyDescent="0.35">
      <c r="A94" s="3">
        <v>45434</v>
      </c>
      <c r="B94" s="4">
        <v>1157558503.4061389</v>
      </c>
    </row>
    <row r="95" spans="1:2" x14ac:dyDescent="0.35">
      <c r="A95" s="3">
        <v>45435</v>
      </c>
      <c r="B95" s="4">
        <v>1169335244.9035921</v>
      </c>
    </row>
    <row r="96" spans="1:2" x14ac:dyDescent="0.35">
      <c r="A96" s="3">
        <v>45436</v>
      </c>
      <c r="B96" s="4">
        <v>1155772599.4887681</v>
      </c>
    </row>
    <row r="97" spans="1:2" x14ac:dyDescent="0.35">
      <c r="A97" s="3">
        <v>45439</v>
      </c>
      <c r="B97" s="4">
        <v>1161234014.601094</v>
      </c>
    </row>
    <row r="98" spans="1:2" x14ac:dyDescent="0.35">
      <c r="A98" s="3">
        <v>45440</v>
      </c>
      <c r="B98" s="4">
        <v>1172721356.2975099</v>
      </c>
    </row>
    <row r="99" spans="1:2" x14ac:dyDescent="0.35">
      <c r="A99" s="3">
        <v>45441</v>
      </c>
      <c r="B99" s="4">
        <v>1173733026.9270129</v>
      </c>
    </row>
    <row r="100" spans="1:2" x14ac:dyDescent="0.35">
      <c r="A100" s="3">
        <v>45442</v>
      </c>
      <c r="B100" s="4">
        <v>1173644650.5310969</v>
      </c>
    </row>
    <row r="101" spans="1:2" x14ac:dyDescent="0.35">
      <c r="A101" s="3">
        <v>45443</v>
      </c>
      <c r="B101" s="4">
        <v>1181007478.6156271</v>
      </c>
    </row>
    <row r="102" spans="1:2" x14ac:dyDescent="0.35">
      <c r="A102" s="3">
        <v>45446</v>
      </c>
      <c r="B102" s="4">
        <v>1185123563.3259759</v>
      </c>
    </row>
    <row r="103" spans="1:2" x14ac:dyDescent="0.35">
      <c r="A103" s="3">
        <v>45447</v>
      </c>
      <c r="B103" s="4">
        <v>1183864801.5262029</v>
      </c>
    </row>
    <row r="104" spans="1:2" x14ac:dyDescent="0.35">
      <c r="A104" s="3">
        <v>45448</v>
      </c>
      <c r="B104" s="4">
        <v>1181353630.6993899</v>
      </c>
    </row>
    <row r="105" spans="1:2" x14ac:dyDescent="0.35">
      <c r="A105" s="3">
        <v>45449</v>
      </c>
      <c r="B105" s="4">
        <v>1179857249.4542079</v>
      </c>
    </row>
    <row r="106" spans="1:2" x14ac:dyDescent="0.35">
      <c r="A106" s="3">
        <v>45450</v>
      </c>
      <c r="B106" s="4">
        <v>1181668924.236038</v>
      </c>
    </row>
    <row r="107" spans="1:2" x14ac:dyDescent="0.35">
      <c r="A107" s="3">
        <v>45453</v>
      </c>
      <c r="B107" s="4">
        <v>1190220120.6206391</v>
      </c>
    </row>
    <row r="108" spans="1:2" x14ac:dyDescent="0.35">
      <c r="A108" s="3">
        <v>45454</v>
      </c>
      <c r="B108" s="4">
        <v>1192206518.4978311</v>
      </c>
    </row>
    <row r="109" spans="1:2" x14ac:dyDescent="0.35">
      <c r="A109" s="3">
        <v>45455</v>
      </c>
      <c r="B109" s="4">
        <v>1201983647.5728071</v>
      </c>
    </row>
    <row r="110" spans="1:2" x14ac:dyDescent="0.35">
      <c r="A110" s="3">
        <v>45456</v>
      </c>
      <c r="B110" s="4">
        <v>1203068610.7753921</v>
      </c>
    </row>
    <row r="111" spans="1:2" x14ac:dyDescent="0.35">
      <c r="A111" s="3">
        <v>45457</v>
      </c>
      <c r="B111" s="4">
        <v>1192579752.6946001</v>
      </c>
    </row>
    <row r="112" spans="1:2" x14ac:dyDescent="0.35">
      <c r="A112" s="3">
        <v>45460</v>
      </c>
      <c r="B112" s="4">
        <v>1195310875.765316</v>
      </c>
    </row>
    <row r="113" spans="1:2" x14ac:dyDescent="0.35">
      <c r="A113" s="3">
        <v>45461</v>
      </c>
      <c r="B113" s="4">
        <v>1197491031.015065</v>
      </c>
    </row>
    <row r="114" spans="1:2" x14ac:dyDescent="0.35">
      <c r="A114" s="3">
        <v>45462</v>
      </c>
      <c r="B114" s="4">
        <v>1196866299.4076791</v>
      </c>
    </row>
    <row r="115" spans="1:2" x14ac:dyDescent="0.35">
      <c r="A115" s="3">
        <v>45463</v>
      </c>
      <c r="B115" s="4">
        <v>1199635422.3501191</v>
      </c>
    </row>
    <row r="116" spans="1:2" x14ac:dyDescent="0.35">
      <c r="A116" s="3">
        <v>45464</v>
      </c>
      <c r="B116" s="4">
        <v>1199851887.8499091</v>
      </c>
    </row>
    <row r="117" spans="1:2" x14ac:dyDescent="0.35">
      <c r="A117" s="3">
        <v>45467</v>
      </c>
      <c r="B117" s="4">
        <v>1193591651.271415</v>
      </c>
    </row>
    <row r="118" spans="1:2" x14ac:dyDescent="0.35">
      <c r="A118" s="3">
        <v>45468</v>
      </c>
      <c r="B118" s="4">
        <v>1191166342.467695</v>
      </c>
    </row>
    <row r="119" spans="1:2" x14ac:dyDescent="0.35">
      <c r="A119" s="3">
        <v>45469</v>
      </c>
      <c r="B119" s="4">
        <v>1196480921.436543</v>
      </c>
    </row>
    <row r="120" spans="1:2" x14ac:dyDescent="0.35">
      <c r="A120" s="3">
        <v>45470</v>
      </c>
      <c r="B120" s="4">
        <v>1196371597.454452</v>
      </c>
    </row>
    <row r="121" spans="1:2" x14ac:dyDescent="0.35">
      <c r="A121" s="3">
        <v>45471</v>
      </c>
      <c r="B121" s="4">
        <v>1189120442.8911409</v>
      </c>
    </row>
    <row r="122" spans="1:2" x14ac:dyDescent="0.35">
      <c r="A122" s="3">
        <v>45474</v>
      </c>
      <c r="B122" s="4">
        <v>1189120443</v>
      </c>
    </row>
    <row r="123" spans="1:2" x14ac:dyDescent="0.35">
      <c r="A123" s="3">
        <v>45475</v>
      </c>
      <c r="B123" s="4">
        <v>1196177850.8338101</v>
      </c>
    </row>
    <row r="124" spans="1:2" x14ac:dyDescent="0.35">
      <c r="A124" s="3">
        <v>45476</v>
      </c>
      <c r="B124" s="4">
        <v>1213890075.0338831</v>
      </c>
    </row>
    <row r="125" spans="1:2" x14ac:dyDescent="0.35">
      <c r="A125" s="3">
        <v>45477</v>
      </c>
      <c r="B125" s="4">
        <v>1226400451.9067991</v>
      </c>
    </row>
    <row r="126" spans="1:2" x14ac:dyDescent="0.35">
      <c r="A126" s="3">
        <v>45478</v>
      </c>
      <c r="B126" s="4">
        <v>1236347159.6867051</v>
      </c>
    </row>
    <row r="127" spans="1:2" x14ac:dyDescent="0.35">
      <c r="A127" s="3">
        <v>45481</v>
      </c>
      <c r="B127" s="4">
        <v>1248576967.3527429</v>
      </c>
    </row>
    <row r="128" spans="1:2" x14ac:dyDescent="0.35">
      <c r="A128" s="11">
        <v>45482</v>
      </c>
      <c r="B128" s="12">
        <v>1256527736.6810501</v>
      </c>
    </row>
    <row r="129" spans="1:2" x14ac:dyDescent="0.35">
      <c r="A129" s="3">
        <v>45483</v>
      </c>
      <c r="B129" s="4">
        <v>1249700979.6196849</v>
      </c>
    </row>
    <row r="130" spans="1:2" x14ac:dyDescent="0.35">
      <c r="A130" s="3">
        <v>45484</v>
      </c>
      <c r="B130" s="4">
        <v>1242442459.9252789</v>
      </c>
    </row>
    <row r="131" spans="1:2" x14ac:dyDescent="0.35">
      <c r="A131" s="3">
        <v>45485</v>
      </c>
      <c r="B131" s="4">
        <v>1236094358.0988679</v>
      </c>
    </row>
    <row r="132" spans="1:2" x14ac:dyDescent="0.35">
      <c r="A132" s="3">
        <v>45488</v>
      </c>
      <c r="B132" s="4">
        <v>1249659215.215925</v>
      </c>
    </row>
    <row r="133" spans="1:2" x14ac:dyDescent="0.35">
      <c r="A133" s="11">
        <v>45489</v>
      </c>
      <c r="B133" s="12">
        <v>1252175715.5623441</v>
      </c>
    </row>
    <row r="134" spans="1:2" x14ac:dyDescent="0.35">
      <c r="A134" s="3">
        <v>45490</v>
      </c>
      <c r="B134" s="4">
        <v>1231383742.803899</v>
      </c>
    </row>
    <row r="135" spans="1:2" x14ac:dyDescent="0.35">
      <c r="A135" s="3">
        <v>45491</v>
      </c>
      <c r="B135" s="4">
        <v>1233870316.2499001</v>
      </c>
    </row>
    <row r="136" spans="1:2" x14ac:dyDescent="0.35">
      <c r="A136" s="3">
        <v>45492</v>
      </c>
      <c r="B136" s="4">
        <v>1228112761.3053019</v>
      </c>
    </row>
    <row r="137" spans="1:2" x14ac:dyDescent="0.35">
      <c r="A137" s="3">
        <v>45495</v>
      </c>
      <c r="B137" s="4">
        <v>1213634561.094604</v>
      </c>
    </row>
    <row r="138" spans="1:2" x14ac:dyDescent="0.35">
      <c r="A138" s="3">
        <v>45496</v>
      </c>
      <c r="B138" s="4">
        <v>1210611452.2927959</v>
      </c>
    </row>
    <row r="139" spans="1:2" x14ac:dyDescent="0.35">
      <c r="A139" s="3">
        <v>45497</v>
      </c>
      <c r="B139" s="4">
        <v>1212088474.836962</v>
      </c>
    </row>
    <row r="140" spans="1:2" x14ac:dyDescent="0.35">
      <c r="A140" s="3">
        <v>45498</v>
      </c>
      <c r="B140" s="4">
        <v>1208820320.5239589</v>
      </c>
    </row>
    <row r="141" spans="1:2" x14ac:dyDescent="0.35">
      <c r="A141" s="3">
        <v>45499</v>
      </c>
      <c r="B141" s="4">
        <v>1215205361.665056</v>
      </c>
    </row>
    <row r="142" spans="1:2" x14ac:dyDescent="0.35">
      <c r="A142" s="3">
        <v>45502</v>
      </c>
      <c r="B142" s="4">
        <v>1216941163.3346541</v>
      </c>
    </row>
    <row r="143" spans="1:2" x14ac:dyDescent="0.35">
      <c r="A143" s="3">
        <v>45503</v>
      </c>
      <c r="B143" s="4">
        <v>1215203198.6608319</v>
      </c>
    </row>
    <row r="144" spans="1:2" x14ac:dyDescent="0.35">
      <c r="A144" s="3">
        <v>45504</v>
      </c>
      <c r="B144" s="4">
        <v>1211680696.3580201</v>
      </c>
    </row>
    <row r="145" spans="1:2" x14ac:dyDescent="0.35">
      <c r="A145" s="3">
        <v>45505</v>
      </c>
      <c r="B145" s="4">
        <v>1200558179.8626599</v>
      </c>
    </row>
    <row r="146" spans="1:2" x14ac:dyDescent="0.35">
      <c r="A146" s="3">
        <v>45506</v>
      </c>
      <c r="B146" s="4">
        <v>1199976472.7486091</v>
      </c>
    </row>
    <row r="147" spans="1:2" x14ac:dyDescent="0.35">
      <c r="A147" s="3">
        <v>45509</v>
      </c>
      <c r="B147" s="4">
        <v>1176383622.6616991</v>
      </c>
    </row>
    <row r="148" spans="1:2" x14ac:dyDescent="0.35">
      <c r="A148" s="3">
        <v>45510</v>
      </c>
      <c r="B148" s="4">
        <v>1189596239.545635</v>
      </c>
    </row>
    <row r="149" spans="1:2" x14ac:dyDescent="0.35">
      <c r="A149" s="3">
        <v>45511</v>
      </c>
      <c r="B149" s="4">
        <v>1191357007.230448</v>
      </c>
    </row>
    <row r="150" spans="1:2" x14ac:dyDescent="0.35">
      <c r="A150" s="3">
        <v>45512</v>
      </c>
      <c r="B150" s="4">
        <v>1193604590.0872331</v>
      </c>
    </row>
    <row r="151" spans="1:2" x14ac:dyDescent="0.35">
      <c r="A151" s="3">
        <v>45513</v>
      </c>
      <c r="B151" s="4">
        <v>1199225969.7826099</v>
      </c>
    </row>
    <row r="152" spans="1:2" x14ac:dyDescent="0.35">
      <c r="A152" s="3">
        <v>45516</v>
      </c>
      <c r="B152" s="4">
        <v>1202962595.0374069</v>
      </c>
    </row>
    <row r="153" spans="1:2" x14ac:dyDescent="0.35">
      <c r="A153" s="3">
        <v>45517</v>
      </c>
      <c r="B153" s="4">
        <v>1203002627.0092189</v>
      </c>
    </row>
    <row r="154" spans="1:2" x14ac:dyDescent="0.35">
      <c r="A154" s="3">
        <v>45518</v>
      </c>
      <c r="B154" s="4">
        <v>1202501122.0539279</v>
      </c>
    </row>
    <row r="155" spans="1:2" x14ac:dyDescent="0.35">
      <c r="A155" s="3">
        <v>45519</v>
      </c>
      <c r="B155" s="4">
        <v>1202348273.474123</v>
      </c>
    </row>
    <row r="156" spans="1:2" x14ac:dyDescent="0.35">
      <c r="A156" s="3">
        <v>45520</v>
      </c>
      <c r="B156" s="4">
        <v>1213850713.3268011</v>
      </c>
    </row>
    <row r="157" spans="1:2" x14ac:dyDescent="0.35">
      <c r="A157" s="3">
        <v>45523</v>
      </c>
      <c r="B157" s="4">
        <v>1216114351.9499619</v>
      </c>
    </row>
    <row r="158" spans="1:2" x14ac:dyDescent="0.35">
      <c r="A158" s="3">
        <v>45524</v>
      </c>
      <c r="B158" s="4">
        <v>1217102122.804883</v>
      </c>
    </row>
    <row r="159" spans="1:2" x14ac:dyDescent="0.35">
      <c r="A159" s="3">
        <v>45525</v>
      </c>
      <c r="B159" s="4">
        <v>1222426428.290822</v>
      </c>
    </row>
    <row r="160" spans="1:2" x14ac:dyDescent="0.35">
      <c r="A160" s="3">
        <v>45526</v>
      </c>
      <c r="B160" s="4">
        <v>1219568441.670089</v>
      </c>
    </row>
    <row r="161" spans="1:2" x14ac:dyDescent="0.35">
      <c r="A161" s="3">
        <v>45527</v>
      </c>
      <c r="B161" s="4">
        <v>1218978311.505738</v>
      </c>
    </row>
    <row r="162" spans="1:2" x14ac:dyDescent="0.35">
      <c r="A162" s="3">
        <v>45530</v>
      </c>
      <c r="B162" s="4">
        <v>1212957757.0624919</v>
      </c>
    </row>
    <row r="163" spans="1:2" x14ac:dyDescent="0.35">
      <c r="A163" s="3">
        <v>45531</v>
      </c>
      <c r="B163" s="4">
        <v>1211326332.9466641</v>
      </c>
    </row>
    <row r="164" spans="1:2" x14ac:dyDescent="0.35">
      <c r="A164" s="3">
        <v>45532</v>
      </c>
      <c r="B164" s="4">
        <v>1211655526.848397</v>
      </c>
    </row>
    <row r="165" spans="1:2" x14ac:dyDescent="0.35">
      <c r="A165" s="3">
        <v>45533</v>
      </c>
      <c r="B165" s="4">
        <v>1212982264.9425099</v>
      </c>
    </row>
    <row r="166" spans="1:2" x14ac:dyDescent="0.35">
      <c r="A166" s="3">
        <v>45534</v>
      </c>
      <c r="B166" s="4">
        <v>1218107250.4653411</v>
      </c>
    </row>
    <row r="167" spans="1:2" x14ac:dyDescent="0.35">
      <c r="A167" s="3">
        <v>45539</v>
      </c>
      <c r="B167" s="4">
        <v>1214266252.47489</v>
      </c>
    </row>
    <row r="168" spans="1:2" x14ac:dyDescent="0.35">
      <c r="A168" s="3">
        <v>45540</v>
      </c>
      <c r="B168" s="4">
        <v>1208950483.268187</v>
      </c>
    </row>
    <row r="169" spans="1:2" x14ac:dyDescent="0.35">
      <c r="A169" s="3">
        <v>45541</v>
      </c>
      <c r="B169" s="4">
        <v>1212592914.6569049</v>
      </c>
    </row>
    <row r="170" spans="1:2" x14ac:dyDescent="0.35">
      <c r="A170" s="3">
        <v>45544</v>
      </c>
      <c r="B170" s="4">
        <v>1210952406.2355411</v>
      </c>
    </row>
    <row r="171" spans="1:2" x14ac:dyDescent="0.35">
      <c r="A171" s="3">
        <v>45545</v>
      </c>
      <c r="B171" s="4">
        <v>1209003681.260216</v>
      </c>
    </row>
    <row r="172" spans="1:2" x14ac:dyDescent="0.35">
      <c r="A172" s="3">
        <v>45546</v>
      </c>
      <c r="B172" s="4">
        <v>1208908737.864918</v>
      </c>
    </row>
    <row r="173" spans="1:2" x14ac:dyDescent="0.35">
      <c r="A173" s="3">
        <v>45547</v>
      </c>
      <c r="B173" s="4">
        <v>1206322608.9847851</v>
      </c>
    </row>
    <row r="174" spans="1:2" x14ac:dyDescent="0.35">
      <c r="A174" s="3">
        <v>45548</v>
      </c>
      <c r="B174" s="4">
        <v>1209399534.149157</v>
      </c>
    </row>
    <row r="175" spans="1:2" x14ac:dyDescent="0.35">
      <c r="A175" s="3">
        <v>45551</v>
      </c>
      <c r="B175" s="4">
        <v>1203994770.681998</v>
      </c>
    </row>
    <row r="176" spans="1:2" x14ac:dyDescent="0.35">
      <c r="A176" s="3">
        <v>45552</v>
      </c>
      <c r="B176" s="4">
        <v>1210688645.7262521</v>
      </c>
    </row>
    <row r="177" spans="1:2" x14ac:dyDescent="0.35">
      <c r="A177" s="3">
        <v>45553</v>
      </c>
      <c r="B177" s="4">
        <v>1211835637.54338</v>
      </c>
    </row>
    <row r="178" spans="1:2" x14ac:dyDescent="0.35">
      <c r="A178" s="3">
        <v>45554</v>
      </c>
      <c r="B178" s="4">
        <v>1208982200.4696591</v>
      </c>
    </row>
    <row r="179" spans="1:2" x14ac:dyDescent="0.35">
      <c r="A179" s="3">
        <v>45555</v>
      </c>
      <c r="B179" s="4">
        <v>1210912273.1432071</v>
      </c>
    </row>
    <row r="180" spans="1:2" x14ac:dyDescent="0.35">
      <c r="A180" s="3">
        <v>45558</v>
      </c>
      <c r="B180" s="4">
        <v>1201025322.0468819</v>
      </c>
    </row>
    <row r="181" spans="1:2" x14ac:dyDescent="0.35">
      <c r="A181" s="3">
        <v>45559</v>
      </c>
      <c r="B181" s="4">
        <v>1206070429.383719</v>
      </c>
    </row>
    <row r="182" spans="1:2" x14ac:dyDescent="0.35">
      <c r="A182" s="3">
        <v>45560</v>
      </c>
      <c r="B182" s="4">
        <v>1204047969.02846</v>
      </c>
    </row>
    <row r="183" spans="1:2" x14ac:dyDescent="0.35">
      <c r="A183" s="3">
        <v>45561</v>
      </c>
      <c r="B183" s="4">
        <v>1206797366.5767069</v>
      </c>
    </row>
    <row r="184" spans="1:2" x14ac:dyDescent="0.35">
      <c r="A184" s="3">
        <v>45562</v>
      </c>
      <c r="B184" s="4">
        <v>1206688564.8106771</v>
      </c>
    </row>
    <row r="185" spans="1:2" x14ac:dyDescent="0.35">
      <c r="A185" s="3">
        <v>45565</v>
      </c>
      <c r="B185" s="4">
        <v>1204800772.5419359</v>
      </c>
    </row>
    <row r="186" spans="1:2" x14ac:dyDescent="0.35">
      <c r="A186" s="3">
        <v>45566</v>
      </c>
      <c r="B186" s="4">
        <v>1204800773</v>
      </c>
    </row>
    <row r="187" spans="1:2" x14ac:dyDescent="0.35">
      <c r="A187" s="3">
        <v>45567</v>
      </c>
      <c r="B187" s="4">
        <v>1198465020.2591081</v>
      </c>
    </row>
    <row r="188" spans="1:2" x14ac:dyDescent="0.35">
      <c r="A188" s="3">
        <v>45568</v>
      </c>
      <c r="B188" s="4">
        <v>1185260409.692868</v>
      </c>
    </row>
    <row r="189" spans="1:2" x14ac:dyDescent="0.35">
      <c r="A189" s="3">
        <v>45569</v>
      </c>
      <c r="B189" s="4">
        <v>1179452515.735213</v>
      </c>
    </row>
    <row r="190" spans="1:2" x14ac:dyDescent="0.35">
      <c r="A190" s="3">
        <v>45572</v>
      </c>
      <c r="B190" s="4">
        <v>1178487042.109442</v>
      </c>
    </row>
    <row r="191" spans="1:2" x14ac:dyDescent="0.35">
      <c r="A191" s="3">
        <v>45573</v>
      </c>
      <c r="B191" s="4">
        <v>1179779996.3541811</v>
      </c>
    </row>
    <row r="192" spans="1:2" x14ac:dyDescent="0.35">
      <c r="A192" s="3">
        <v>45574</v>
      </c>
      <c r="B192" s="4">
        <v>1179709896.1637959</v>
      </c>
    </row>
    <row r="193" spans="1:2" x14ac:dyDescent="0.35">
      <c r="A193" s="3">
        <v>45575</v>
      </c>
      <c r="B193" s="4">
        <v>1187464582.564446</v>
      </c>
    </row>
    <row r="194" spans="1:2" x14ac:dyDescent="0.35">
      <c r="A194" s="3">
        <v>45576</v>
      </c>
      <c r="B194" s="4">
        <v>1184909220.6128941</v>
      </c>
    </row>
    <row r="195" spans="1:2" x14ac:dyDescent="0.35">
      <c r="A195" s="3">
        <v>45579</v>
      </c>
      <c r="B195" s="4">
        <v>1180573311.8495841</v>
      </c>
    </row>
    <row r="196" spans="1:2" x14ac:dyDescent="0.35">
      <c r="A196" s="3">
        <v>45580</v>
      </c>
      <c r="B196" s="4">
        <v>1183199571.585048</v>
      </c>
    </row>
    <row r="197" spans="1:2" x14ac:dyDescent="0.35">
      <c r="A197" s="3">
        <v>45581</v>
      </c>
      <c r="B197" s="4">
        <v>1182443934.1211829</v>
      </c>
    </row>
    <row r="198" spans="1:2" x14ac:dyDescent="0.35">
      <c r="A198" s="3">
        <v>45582</v>
      </c>
      <c r="B198" s="4">
        <v>1186812211.430656</v>
      </c>
    </row>
    <row r="199" spans="1:2" x14ac:dyDescent="0.35">
      <c r="A199" s="3">
        <v>45583</v>
      </c>
      <c r="B199" s="4">
        <v>1188635277.4545701</v>
      </c>
    </row>
    <row r="200" spans="1:2" x14ac:dyDescent="0.35">
      <c r="A200" s="3">
        <v>45586</v>
      </c>
      <c r="B200" s="4">
        <v>1181646034.33252</v>
      </c>
    </row>
    <row r="201" spans="1:2" x14ac:dyDescent="0.35">
      <c r="A201" s="3">
        <v>45587</v>
      </c>
      <c r="B201" s="4">
        <v>1172417997.581074</v>
      </c>
    </row>
    <row r="202" spans="1:2" x14ac:dyDescent="0.35">
      <c r="A202" s="3">
        <v>45588</v>
      </c>
      <c r="B202" s="4">
        <v>1177070660.659065</v>
      </c>
    </row>
    <row r="203" spans="1:2" x14ac:dyDescent="0.35">
      <c r="A203" s="3">
        <v>45589</v>
      </c>
      <c r="B203" s="4">
        <v>1179217185.550657</v>
      </c>
    </row>
    <row r="204" spans="1:2" x14ac:dyDescent="0.35">
      <c r="A204" s="3">
        <v>45590</v>
      </c>
      <c r="B204" s="4">
        <v>1177773866.2880681</v>
      </c>
    </row>
    <row r="205" spans="1:2" x14ac:dyDescent="0.35">
      <c r="A205" s="3">
        <v>45593</v>
      </c>
      <c r="B205" s="4">
        <v>1176130931.205265</v>
      </c>
    </row>
    <row r="206" spans="1:2" x14ac:dyDescent="0.35">
      <c r="A206" s="3">
        <v>45594</v>
      </c>
      <c r="B206" s="4">
        <v>1180803816.9784579</v>
      </c>
    </row>
    <row r="207" spans="1:2" x14ac:dyDescent="0.35">
      <c r="A207" s="3">
        <v>45595</v>
      </c>
      <c r="B207" s="4">
        <v>1180658957.884434</v>
      </c>
    </row>
    <row r="208" spans="1:2" x14ac:dyDescent="0.35">
      <c r="A208" s="3">
        <v>45596</v>
      </c>
      <c r="B208" s="4">
        <v>1187456394.4327869</v>
      </c>
    </row>
    <row r="209" spans="1:2" x14ac:dyDescent="0.35">
      <c r="A209" s="3">
        <v>45597</v>
      </c>
      <c r="B209" s="4">
        <v>1189461766.0427201</v>
      </c>
    </row>
    <row r="210" spans="1:2" x14ac:dyDescent="0.35">
      <c r="A210" s="3">
        <v>45600</v>
      </c>
      <c r="B210" s="4">
        <v>1189198271.9132459</v>
      </c>
    </row>
    <row r="211" spans="1:2" x14ac:dyDescent="0.35">
      <c r="A211" s="3">
        <v>45601</v>
      </c>
      <c r="B211" s="4">
        <v>1190208068.605144</v>
      </c>
    </row>
    <row r="212" spans="1:2" x14ac:dyDescent="0.35">
      <c r="A212" s="3">
        <v>45602</v>
      </c>
      <c r="B212" s="4">
        <v>1202213193.1844029</v>
      </c>
    </row>
    <row r="213" spans="1:2" x14ac:dyDescent="0.35">
      <c r="A213" s="3">
        <v>45603</v>
      </c>
      <c r="B213" s="4">
        <v>1202284020.5790191</v>
      </c>
    </row>
    <row r="214" spans="1:2" x14ac:dyDescent="0.35">
      <c r="A214" s="3">
        <v>45604</v>
      </c>
      <c r="B214" s="4">
        <v>1199653461.103065</v>
      </c>
    </row>
    <row r="215" spans="1:2" x14ac:dyDescent="0.35">
      <c r="A215" s="3">
        <v>45607</v>
      </c>
      <c r="B215" s="4">
        <v>1193877395.2637751</v>
      </c>
    </row>
    <row r="216" spans="1:2" x14ac:dyDescent="0.35">
      <c r="A216" s="3">
        <v>45608</v>
      </c>
      <c r="B216" s="4">
        <v>1189462757.6885951</v>
      </c>
    </row>
    <row r="217" spans="1:2" x14ac:dyDescent="0.35">
      <c r="A217" s="3">
        <v>45609</v>
      </c>
      <c r="B217" s="4">
        <v>1189646782.9378829</v>
      </c>
    </row>
    <row r="218" spans="1:2" x14ac:dyDescent="0.35">
      <c r="A218" s="3">
        <v>45610</v>
      </c>
      <c r="B218" s="4">
        <v>1187605415.39361</v>
      </c>
    </row>
    <row r="219" spans="1:2" x14ac:dyDescent="0.35">
      <c r="A219" s="3">
        <v>45611</v>
      </c>
      <c r="B219" s="4">
        <v>1181405557.533833</v>
      </c>
    </row>
    <row r="220" spans="1:2" x14ac:dyDescent="0.35">
      <c r="A220" s="3">
        <v>45614</v>
      </c>
      <c r="B220" s="4">
        <v>1189533969.647089</v>
      </c>
    </row>
    <row r="221" spans="1:2" x14ac:dyDescent="0.35">
      <c r="A221" s="3">
        <v>45615</v>
      </c>
      <c r="B221" s="4">
        <v>1188267893.1375079</v>
      </c>
    </row>
    <row r="222" spans="1:2" x14ac:dyDescent="0.35">
      <c r="A222" s="3">
        <v>45616</v>
      </c>
      <c r="B222" s="4">
        <v>1199090197.8093989</v>
      </c>
    </row>
    <row r="223" spans="1:2" x14ac:dyDescent="0.35">
      <c r="A223" s="3">
        <v>45617</v>
      </c>
      <c r="B223" s="4">
        <v>1206896751.3900809</v>
      </c>
    </row>
    <row r="224" spans="1:2" x14ac:dyDescent="0.35">
      <c r="A224" s="3">
        <v>45618</v>
      </c>
      <c r="B224" s="4">
        <v>1207921523.455601</v>
      </c>
    </row>
    <row r="225" spans="1:2" x14ac:dyDescent="0.35">
      <c r="A225" s="3">
        <v>45621</v>
      </c>
      <c r="B225" s="4">
        <v>1212794549.7714469</v>
      </c>
    </row>
    <row r="226" spans="1:2" x14ac:dyDescent="0.35">
      <c r="A226" s="3">
        <v>45622</v>
      </c>
      <c r="B226" s="4">
        <v>1212100486.165863</v>
      </c>
    </row>
    <row r="227" spans="1:2" x14ac:dyDescent="0.35">
      <c r="A227" s="3">
        <v>45623</v>
      </c>
      <c r="B227" s="4">
        <v>1213149441.76229</v>
      </c>
    </row>
    <row r="228" spans="1:2" x14ac:dyDescent="0.35">
      <c r="A228" s="3">
        <v>45624</v>
      </c>
      <c r="B228" s="4">
        <v>1223360439.2220571</v>
      </c>
    </row>
    <row r="229" spans="1:2" x14ac:dyDescent="0.35">
      <c r="A229" s="3">
        <v>45625</v>
      </c>
      <c r="B229" s="4">
        <v>1229984320.1612861</v>
      </c>
    </row>
    <row r="230" spans="1:2" x14ac:dyDescent="0.35">
      <c r="A230" s="3">
        <v>45628</v>
      </c>
      <c r="B230" s="4">
        <v>1228855078.075783</v>
      </c>
    </row>
    <row r="231" spans="1:2" x14ac:dyDescent="0.35">
      <c r="A231" s="3">
        <v>45629</v>
      </c>
      <c r="B231" s="4">
        <v>1230485690.273618</v>
      </c>
    </row>
    <row r="232" spans="1:2" x14ac:dyDescent="0.35">
      <c r="A232" s="3">
        <v>45630</v>
      </c>
      <c r="B232" s="4">
        <v>1227503217.765599</v>
      </c>
    </row>
    <row r="233" spans="1:2" x14ac:dyDescent="0.35">
      <c r="A233" s="3">
        <v>45631</v>
      </c>
      <c r="B233" s="4">
        <v>1240722619.014606</v>
      </c>
    </row>
    <row r="234" spans="1:2" x14ac:dyDescent="0.35">
      <c r="A234" s="3">
        <v>45632</v>
      </c>
      <c r="B234" s="4">
        <v>1238724792.8274469</v>
      </c>
    </row>
    <row r="235" spans="1:2" x14ac:dyDescent="0.35">
      <c r="A235" s="3">
        <v>45635</v>
      </c>
      <c r="B235" s="4">
        <v>1235128887.9390759</v>
      </c>
    </row>
    <row r="236" spans="1:2" x14ac:dyDescent="0.35">
      <c r="A236" s="3">
        <v>45636</v>
      </c>
      <c r="B236" s="4">
        <v>1235703926.288269</v>
      </c>
    </row>
    <row r="237" spans="1:2" x14ac:dyDescent="0.35">
      <c r="A237" s="3">
        <v>45637</v>
      </c>
      <c r="B237" s="4">
        <v>1236308754.4753511</v>
      </c>
    </row>
    <row r="238" spans="1:2" x14ac:dyDescent="0.35">
      <c r="A238" s="3">
        <v>45638</v>
      </c>
      <c r="B238" s="4">
        <v>1236521891.482249</v>
      </c>
    </row>
    <row r="239" spans="1:2" x14ac:dyDescent="0.35">
      <c r="A239" s="3">
        <v>45639</v>
      </c>
      <c r="B239" s="4">
        <v>1235789813.5516729</v>
      </c>
    </row>
    <row r="240" spans="1:2" x14ac:dyDescent="0.35">
      <c r="A240" s="3">
        <v>45642</v>
      </c>
      <c r="B240" s="4">
        <v>1238499582.02143</v>
      </c>
    </row>
    <row r="241" spans="1:2" x14ac:dyDescent="0.35">
      <c r="A241" s="3">
        <v>45643</v>
      </c>
      <c r="B241" s="4">
        <v>1236984621.0840571</v>
      </c>
    </row>
    <row r="242" spans="1:2" x14ac:dyDescent="0.35">
      <c r="A242" s="3">
        <v>45644</v>
      </c>
      <c r="B242" s="4">
        <v>1235982814.4954309</v>
      </c>
    </row>
    <row r="243" spans="1:2" x14ac:dyDescent="0.35">
      <c r="A243" s="3">
        <v>45645</v>
      </c>
      <c r="B243" s="4">
        <v>1232015781.5702879</v>
      </c>
    </row>
    <row r="244" spans="1:2" x14ac:dyDescent="0.35">
      <c r="A244" s="3">
        <v>45646</v>
      </c>
      <c r="B244" s="4">
        <v>1230725488.836185</v>
      </c>
    </row>
    <row r="245" spans="1:2" x14ac:dyDescent="0.35">
      <c r="A245" s="3">
        <v>45649</v>
      </c>
      <c r="B245" s="4">
        <v>1233907586.089396</v>
      </c>
    </row>
    <row r="246" spans="1:2" x14ac:dyDescent="0.35">
      <c r="A246" s="3">
        <v>45650</v>
      </c>
      <c r="B246" s="4">
        <v>1235464396.9588189</v>
      </c>
    </row>
    <row r="247" spans="1:2" x14ac:dyDescent="0.35">
      <c r="A247" s="3">
        <v>45651</v>
      </c>
      <c r="B247" s="4">
        <v>1238101968.374933</v>
      </c>
    </row>
    <row r="248" spans="1:2" x14ac:dyDescent="0.35">
      <c r="A248" s="3">
        <v>45652</v>
      </c>
      <c r="B248" s="4">
        <v>1240270509.5778351</v>
      </c>
    </row>
    <row r="249" spans="1:2" x14ac:dyDescent="0.35">
      <c r="A249" s="3">
        <v>45653</v>
      </c>
      <c r="B249" s="4">
        <v>1243434247.3976729</v>
      </c>
    </row>
    <row r="250" spans="1:2" x14ac:dyDescent="0.35">
      <c r="A250" s="3">
        <v>45656</v>
      </c>
      <c r="B250" s="4">
        <v>1245182276.747036</v>
      </c>
    </row>
    <row r="251" spans="1:2" x14ac:dyDescent="0.35">
      <c r="A251" s="3">
        <v>45657</v>
      </c>
      <c r="B251" s="4">
        <v>1244434713.5256779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topLeftCell="A44" zoomScaleNormal="100" workbookViewId="0">
      <selection activeCell="B51" sqref="B51"/>
    </sheetView>
  </sheetViews>
  <sheetFormatPr defaultRowHeight="14.5" x14ac:dyDescent="0.35"/>
  <cols>
    <col min="1" max="8" width="11" customWidth="1"/>
  </cols>
  <sheetData>
    <row r="1" spans="1:8" x14ac:dyDescent="0.35">
      <c r="A1" s="6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7" t="s">
        <v>13</v>
      </c>
      <c r="G1" s="1" t="s">
        <v>14</v>
      </c>
      <c r="H1" s="1" t="s">
        <v>15</v>
      </c>
    </row>
    <row r="2" spans="1:8" x14ac:dyDescent="0.35">
      <c r="A2" s="18" t="s">
        <v>22</v>
      </c>
      <c r="B2" s="18"/>
      <c r="C2" s="18"/>
      <c r="D2" s="18"/>
      <c r="E2" s="18"/>
      <c r="F2" s="18"/>
      <c r="G2" s="18"/>
      <c r="H2" s="18"/>
    </row>
    <row r="3" spans="1:8" x14ac:dyDescent="0.35">
      <c r="A3" t="s">
        <v>47</v>
      </c>
      <c r="B3" s="13">
        <v>0.20860000000000001</v>
      </c>
      <c r="C3">
        <v>0.66</v>
      </c>
      <c r="D3" t="s">
        <v>24</v>
      </c>
      <c r="E3" t="s">
        <v>27</v>
      </c>
      <c r="F3" s="13">
        <v>-9.4104169903782495E-2</v>
      </c>
      <c r="G3" s="13">
        <v>1.133925334312773E-3</v>
      </c>
      <c r="H3" t="s">
        <v>18</v>
      </c>
    </row>
    <row r="4" spans="1:8" x14ac:dyDescent="0.35">
      <c r="A4" t="s">
        <v>48</v>
      </c>
      <c r="B4" s="13">
        <v>0.1236</v>
      </c>
      <c r="C4">
        <v>0.61</v>
      </c>
      <c r="D4" t="s">
        <v>24</v>
      </c>
      <c r="E4" t="s">
        <v>27</v>
      </c>
      <c r="F4" s="13">
        <v>0.13429252740212799</v>
      </c>
      <c r="G4" s="13">
        <v>0.16306949755972669</v>
      </c>
      <c r="H4" t="s">
        <v>18</v>
      </c>
    </row>
    <row r="5" spans="1:8" x14ac:dyDescent="0.35">
      <c r="A5" t="s">
        <v>49</v>
      </c>
      <c r="B5" s="13">
        <v>0.1074</v>
      </c>
      <c r="C5">
        <v>0.87</v>
      </c>
      <c r="D5" t="s">
        <v>24</v>
      </c>
      <c r="E5" t="s">
        <v>27</v>
      </c>
      <c r="F5" s="13">
        <v>-4.0441176470588237E-2</v>
      </c>
      <c r="G5" s="13">
        <v>9.9264705882352935E-2</v>
      </c>
      <c r="H5" t="s">
        <v>18</v>
      </c>
    </row>
    <row r="6" spans="1:8" x14ac:dyDescent="0.35">
      <c r="A6" t="s">
        <v>71</v>
      </c>
      <c r="B6" s="13">
        <v>0.105</v>
      </c>
      <c r="C6">
        <v>0.99</v>
      </c>
      <c r="D6" t="s">
        <v>24</v>
      </c>
      <c r="E6" t="s">
        <v>72</v>
      </c>
      <c r="F6" s="13">
        <v>0.27730294396961058</v>
      </c>
      <c r="G6" s="13">
        <v>0.27730294396961058</v>
      </c>
      <c r="H6" t="s">
        <v>17</v>
      </c>
    </row>
    <row r="7" spans="1:8" x14ac:dyDescent="0.35">
      <c r="A7" t="s">
        <v>74</v>
      </c>
      <c r="B7" s="13">
        <v>0.1042</v>
      </c>
      <c r="C7">
        <v>0.69</v>
      </c>
      <c r="D7" t="s">
        <v>24</v>
      </c>
      <c r="E7" t="s">
        <v>75</v>
      </c>
      <c r="F7" s="13">
        <v>0.2401372212692966</v>
      </c>
      <c r="G7" s="13">
        <v>0.2401372212692966</v>
      </c>
      <c r="H7" t="s">
        <v>17</v>
      </c>
    </row>
    <row r="8" spans="1:8" x14ac:dyDescent="0.35">
      <c r="A8" t="s">
        <v>76</v>
      </c>
      <c r="B8" s="13">
        <v>9.11E-2</v>
      </c>
      <c r="C8">
        <v>0.69</v>
      </c>
      <c r="D8" t="s">
        <v>24</v>
      </c>
      <c r="E8" t="s">
        <v>27</v>
      </c>
      <c r="F8" s="13">
        <v>-0.1181434599156118</v>
      </c>
      <c r="G8" s="13">
        <v>0</v>
      </c>
      <c r="H8" t="s">
        <v>18</v>
      </c>
    </row>
    <row r="9" spans="1:8" x14ac:dyDescent="0.35">
      <c r="A9" t="s">
        <v>20</v>
      </c>
      <c r="B9" s="13">
        <v>8.3699999999999997E-2</v>
      </c>
      <c r="C9">
        <v>0.36</v>
      </c>
      <c r="D9" t="s">
        <v>24</v>
      </c>
      <c r="E9" t="s">
        <v>25</v>
      </c>
      <c r="F9" s="13">
        <v>0.25656536976010941</v>
      </c>
      <c r="G9" s="13">
        <v>0.25656536976010941</v>
      </c>
      <c r="H9" t="s">
        <v>17</v>
      </c>
    </row>
    <row r="10" spans="1:8" x14ac:dyDescent="0.35">
      <c r="A10" t="s">
        <v>26</v>
      </c>
      <c r="B10" s="13">
        <v>7.0599999999999996E-2</v>
      </c>
      <c r="C10">
        <v>0.36</v>
      </c>
      <c r="D10" t="s">
        <v>24</v>
      </c>
      <c r="E10" t="s">
        <v>27</v>
      </c>
      <c r="F10" s="13">
        <v>9.1743119266055051E-3</v>
      </c>
      <c r="G10" s="13">
        <v>9.1743119266055051E-2</v>
      </c>
      <c r="H10" t="s">
        <v>18</v>
      </c>
    </row>
    <row r="11" spans="1:8" x14ac:dyDescent="0.35">
      <c r="A11" s="19" t="s">
        <v>73</v>
      </c>
      <c r="B11" s="13">
        <v>5.7000000000000002E-2</v>
      </c>
      <c r="C11">
        <v>0.79</v>
      </c>
      <c r="D11" t="s">
        <v>24</v>
      </c>
      <c r="E11" t="s">
        <v>27</v>
      </c>
      <c r="F11" s="13">
        <v>0.111576011157601</v>
      </c>
      <c r="G11" s="13">
        <v>0.12412831241283109</v>
      </c>
      <c r="H11" t="s">
        <v>18</v>
      </c>
    </row>
    <row r="12" spans="1:8" x14ac:dyDescent="0.35">
      <c r="A12" t="s">
        <v>19</v>
      </c>
      <c r="B12" s="13">
        <v>4.8800000000000003E-2</v>
      </c>
      <c r="C12">
        <v>0.49</v>
      </c>
      <c r="D12" t="s">
        <v>24</v>
      </c>
      <c r="E12" t="s">
        <v>27</v>
      </c>
      <c r="F12" s="13">
        <v>9.3457907390395056E-2</v>
      </c>
      <c r="G12" s="13">
        <v>0.1339559430034597</v>
      </c>
      <c r="H12" t="s">
        <v>18</v>
      </c>
    </row>
    <row r="13" spans="1:8" x14ac:dyDescent="0.35">
      <c r="A13" s="18" t="s">
        <v>29</v>
      </c>
      <c r="B13" s="18"/>
      <c r="C13" s="18"/>
      <c r="D13" s="18"/>
      <c r="E13" s="18"/>
      <c r="F13" s="18"/>
      <c r="G13" s="18"/>
      <c r="H13" s="18"/>
    </row>
    <row r="14" spans="1:8" x14ac:dyDescent="0.35">
      <c r="A14" t="s">
        <v>33</v>
      </c>
      <c r="B14" s="13">
        <v>0.1239</v>
      </c>
      <c r="C14">
        <v>0.53</v>
      </c>
      <c r="D14" t="s">
        <v>31</v>
      </c>
      <c r="E14" t="s">
        <v>30</v>
      </c>
      <c r="F14" s="13">
        <v>8.8247066833446783E-2</v>
      </c>
      <c r="G14" s="13">
        <v>0.13138686131386859</v>
      </c>
      <c r="H14" t="s">
        <v>18</v>
      </c>
    </row>
    <row r="15" spans="1:8" x14ac:dyDescent="0.35">
      <c r="A15" t="s">
        <v>54</v>
      </c>
      <c r="B15" s="13">
        <v>0.1134</v>
      </c>
      <c r="C15">
        <v>0.46</v>
      </c>
      <c r="D15" t="s">
        <v>31</v>
      </c>
      <c r="E15" t="s">
        <v>55</v>
      </c>
      <c r="F15" s="13">
        <v>0.20178041543026709</v>
      </c>
      <c r="G15" s="13">
        <v>0.20178041543026709</v>
      </c>
      <c r="H15" t="s">
        <v>17</v>
      </c>
    </row>
    <row r="16" spans="1:8" x14ac:dyDescent="0.35">
      <c r="A16" t="s">
        <v>28</v>
      </c>
      <c r="B16" s="13">
        <v>0.1096</v>
      </c>
      <c r="C16">
        <v>0.55000000000000004</v>
      </c>
      <c r="D16" t="s">
        <v>31</v>
      </c>
      <c r="E16" t="s">
        <v>35</v>
      </c>
      <c r="F16" s="13">
        <v>0.27372262773722628</v>
      </c>
      <c r="G16" s="13">
        <v>0.27372262773722628</v>
      </c>
      <c r="H16" t="s">
        <v>17</v>
      </c>
    </row>
    <row r="17" spans="1:8" x14ac:dyDescent="0.35">
      <c r="A17" t="s">
        <v>71</v>
      </c>
      <c r="B17" s="13">
        <v>0.1009</v>
      </c>
      <c r="C17">
        <v>0.99</v>
      </c>
      <c r="D17" t="s">
        <v>31</v>
      </c>
      <c r="E17" t="s">
        <v>30</v>
      </c>
      <c r="F17" s="13">
        <v>0.1530944625407166</v>
      </c>
      <c r="G17" s="13">
        <v>0.17263843648208471</v>
      </c>
      <c r="H17" t="s">
        <v>18</v>
      </c>
    </row>
    <row r="18" spans="1:8" x14ac:dyDescent="0.35">
      <c r="A18" t="s">
        <v>50</v>
      </c>
      <c r="B18" s="13">
        <v>8.7499999999999994E-2</v>
      </c>
      <c r="C18">
        <v>0.76</v>
      </c>
      <c r="D18" t="s">
        <v>31</v>
      </c>
      <c r="E18" t="s">
        <v>51</v>
      </c>
      <c r="F18" s="13">
        <v>0.21206896551724161</v>
      </c>
      <c r="G18" s="13">
        <v>0.21206896551724161</v>
      </c>
      <c r="H18" t="s">
        <v>17</v>
      </c>
    </row>
    <row r="19" spans="1:8" x14ac:dyDescent="0.35">
      <c r="A19" t="s">
        <v>52</v>
      </c>
      <c r="B19" s="13">
        <v>8.6900000000000005E-2</v>
      </c>
      <c r="C19">
        <v>0.6</v>
      </c>
      <c r="D19" t="s">
        <v>31</v>
      </c>
      <c r="E19" t="s">
        <v>53</v>
      </c>
      <c r="F19" s="13">
        <v>0.2247520066725083</v>
      </c>
      <c r="G19" s="13">
        <v>0.2247520066725083</v>
      </c>
      <c r="H19" t="s">
        <v>17</v>
      </c>
    </row>
    <row r="20" spans="1:8" x14ac:dyDescent="0.35">
      <c r="A20" t="s">
        <v>79</v>
      </c>
      <c r="B20" s="13">
        <v>7.4899999999999994E-2</v>
      </c>
      <c r="C20">
        <v>0.57999999999999996</v>
      </c>
      <c r="D20" t="s">
        <v>31</v>
      </c>
      <c r="E20" t="s">
        <v>80</v>
      </c>
      <c r="F20" s="13">
        <v>-0.22448979591836729</v>
      </c>
      <c r="G20" s="13">
        <v>0</v>
      </c>
      <c r="H20" t="s">
        <v>16</v>
      </c>
    </row>
    <row r="21" spans="1:8" x14ac:dyDescent="0.35">
      <c r="A21" t="s">
        <v>34</v>
      </c>
      <c r="B21" s="13">
        <v>7.3599999999999999E-2</v>
      </c>
      <c r="C21">
        <v>0.85</v>
      </c>
      <c r="D21" t="s">
        <v>31</v>
      </c>
      <c r="E21" t="s">
        <v>30</v>
      </c>
      <c r="F21" s="13">
        <v>-8.8857311302928108E-2</v>
      </c>
      <c r="G21" s="13">
        <v>0</v>
      </c>
      <c r="H21" t="s">
        <v>18</v>
      </c>
    </row>
    <row r="22" spans="1:8" x14ac:dyDescent="0.35">
      <c r="A22" t="s">
        <v>32</v>
      </c>
      <c r="B22" s="13">
        <v>6.2E-2</v>
      </c>
      <c r="C22">
        <v>0.18</v>
      </c>
      <c r="D22" t="s">
        <v>31</v>
      </c>
      <c r="E22" t="s">
        <v>30</v>
      </c>
      <c r="F22" s="13">
        <v>0.11555555555555561</v>
      </c>
      <c r="G22" s="13">
        <v>0.117037037037037</v>
      </c>
      <c r="H22" t="s">
        <v>18</v>
      </c>
    </row>
    <row r="23" spans="1:8" x14ac:dyDescent="0.35">
      <c r="A23" t="s">
        <v>49</v>
      </c>
      <c r="B23" s="13">
        <v>4.1300000000000003E-2</v>
      </c>
      <c r="C23">
        <v>0.87</v>
      </c>
      <c r="D23" t="s">
        <v>24</v>
      </c>
      <c r="E23" t="s">
        <v>30</v>
      </c>
      <c r="F23" s="13">
        <v>-0.11029411764705881</v>
      </c>
      <c r="G23" s="13">
        <v>0.1029411764705882</v>
      </c>
      <c r="H23" t="s">
        <v>18</v>
      </c>
    </row>
    <row r="24" spans="1:8" x14ac:dyDescent="0.35">
      <c r="A24" t="s">
        <v>76</v>
      </c>
      <c r="B24" s="13">
        <v>3.6799999999999999E-2</v>
      </c>
      <c r="C24">
        <v>0.69</v>
      </c>
      <c r="D24" t="s">
        <v>24</v>
      </c>
      <c r="E24" t="s">
        <v>81</v>
      </c>
      <c r="F24" s="13">
        <v>-0.15189873417721519</v>
      </c>
      <c r="G24" s="13">
        <v>0</v>
      </c>
      <c r="H24" t="s">
        <v>16</v>
      </c>
    </row>
    <row r="25" spans="1:8" x14ac:dyDescent="0.35">
      <c r="A25" t="s">
        <v>47</v>
      </c>
      <c r="B25" s="13">
        <v>3.32E-2</v>
      </c>
      <c r="C25">
        <v>0.66</v>
      </c>
      <c r="D25" t="s">
        <v>24</v>
      </c>
      <c r="E25" t="s">
        <v>77</v>
      </c>
      <c r="F25" s="13">
        <v>0.25623582766439917</v>
      </c>
      <c r="G25" s="13">
        <v>0.25623582766439917</v>
      </c>
      <c r="H25" t="s">
        <v>17</v>
      </c>
    </row>
    <row r="26" spans="1:8" x14ac:dyDescent="0.35">
      <c r="A26" t="s">
        <v>26</v>
      </c>
      <c r="B26" s="13">
        <v>2.87E-2</v>
      </c>
      <c r="C26">
        <v>0.36</v>
      </c>
      <c r="D26" t="s">
        <v>24</v>
      </c>
      <c r="E26" t="s">
        <v>30</v>
      </c>
      <c r="F26" s="13">
        <v>-3.2995717192101211E-2</v>
      </c>
      <c r="G26" s="13">
        <v>0.10366972477064219</v>
      </c>
      <c r="H26" t="s">
        <v>18</v>
      </c>
    </row>
    <row r="27" spans="1:8" x14ac:dyDescent="0.35">
      <c r="A27" t="s">
        <v>19</v>
      </c>
      <c r="B27" s="13">
        <v>2.7300000000000001E-2</v>
      </c>
      <c r="C27">
        <v>0.49</v>
      </c>
      <c r="D27" t="s">
        <v>24</v>
      </c>
      <c r="E27" t="s">
        <v>78</v>
      </c>
      <c r="F27" s="13">
        <v>0.21806845057758839</v>
      </c>
      <c r="G27" s="13">
        <v>0.21806845057758839</v>
      </c>
      <c r="H27" t="s">
        <v>17</v>
      </c>
    </row>
    <row r="28" spans="1:8" x14ac:dyDescent="0.35">
      <c r="A28" s="18" t="s">
        <v>36</v>
      </c>
      <c r="B28" s="18"/>
      <c r="C28" s="18"/>
      <c r="D28" s="18"/>
      <c r="E28" s="18"/>
      <c r="F28" s="18"/>
      <c r="G28" s="18"/>
      <c r="H28" s="18"/>
    </row>
    <row r="29" spans="1:8" x14ac:dyDescent="0.35">
      <c r="A29" t="s">
        <v>67</v>
      </c>
      <c r="B29" s="13">
        <v>0.2074</v>
      </c>
      <c r="C29">
        <v>0.04</v>
      </c>
      <c r="D29" t="s">
        <v>40</v>
      </c>
      <c r="E29" t="s">
        <v>39</v>
      </c>
      <c r="F29" s="13">
        <v>-4.3202033036848803E-2</v>
      </c>
      <c r="G29" s="13">
        <v>1.9059720457433291E-2</v>
      </c>
      <c r="H29" t="s">
        <v>18</v>
      </c>
    </row>
    <row r="30" spans="1:8" x14ac:dyDescent="0.35">
      <c r="A30" t="s">
        <v>57</v>
      </c>
      <c r="B30" s="13">
        <v>0.1036</v>
      </c>
      <c r="C30">
        <v>0.22</v>
      </c>
      <c r="D30" t="s">
        <v>40</v>
      </c>
      <c r="E30" t="s">
        <v>58</v>
      </c>
      <c r="F30" s="13">
        <v>0.26666666666666672</v>
      </c>
      <c r="G30" s="13">
        <v>0.26666666666666672</v>
      </c>
      <c r="H30" t="s">
        <v>17</v>
      </c>
    </row>
    <row r="31" spans="1:8" x14ac:dyDescent="0.35">
      <c r="A31" t="s">
        <v>28</v>
      </c>
      <c r="B31" s="13">
        <v>8.8099999999999998E-2</v>
      </c>
      <c r="C31">
        <v>0.55000000000000004</v>
      </c>
      <c r="D31" t="s">
        <v>40</v>
      </c>
      <c r="E31" t="s">
        <v>39</v>
      </c>
      <c r="F31" s="17">
        <v>-4.4152327389321878E-3</v>
      </c>
      <c r="G31" s="13">
        <v>1.6563632170568561E-2</v>
      </c>
      <c r="H31" t="s">
        <v>18</v>
      </c>
    </row>
    <row r="32" spans="1:8" x14ac:dyDescent="0.35">
      <c r="A32" s="14" t="s">
        <v>19</v>
      </c>
      <c r="B32" s="15">
        <v>7.9000000000000001E-2</v>
      </c>
      <c r="C32" s="14">
        <v>0.49</v>
      </c>
      <c r="D32" s="14" t="s">
        <v>40</v>
      </c>
      <c r="E32" s="14" t="s">
        <v>39</v>
      </c>
      <c r="F32" s="15">
        <v>0.14516151520834999</v>
      </c>
      <c r="G32" s="15">
        <v>0.155914203380393</v>
      </c>
      <c r="H32" s="14" t="s">
        <v>18</v>
      </c>
    </row>
    <row r="33" spans="1:8" x14ac:dyDescent="0.35">
      <c r="A33" t="s">
        <v>56</v>
      </c>
      <c r="B33" s="13">
        <v>6.8400000000000002E-2</v>
      </c>
      <c r="C33">
        <v>1.46</v>
      </c>
      <c r="D33" t="s">
        <v>40</v>
      </c>
      <c r="E33" t="s">
        <v>60</v>
      </c>
      <c r="F33" s="13">
        <v>-0.2068965517241379</v>
      </c>
      <c r="G33" s="13">
        <v>6.3218390804597693E-2</v>
      </c>
      <c r="H33" t="s">
        <v>16</v>
      </c>
    </row>
    <row r="34" spans="1:8" x14ac:dyDescent="0.35">
      <c r="A34" t="s">
        <v>82</v>
      </c>
      <c r="B34" s="13">
        <v>5.8999999999999997E-2</v>
      </c>
      <c r="C34">
        <v>0.76</v>
      </c>
      <c r="D34" t="s">
        <v>40</v>
      </c>
      <c r="E34" t="s">
        <v>39</v>
      </c>
      <c r="F34" s="13">
        <v>4.5878693623639118E-2</v>
      </c>
      <c r="G34" s="13">
        <v>8.5536547433903543E-2</v>
      </c>
      <c r="H34" t="s">
        <v>18</v>
      </c>
    </row>
    <row r="35" spans="1:8" x14ac:dyDescent="0.35">
      <c r="A35" t="s">
        <v>32</v>
      </c>
      <c r="B35" s="13">
        <v>5.5899999999999998E-2</v>
      </c>
      <c r="C35">
        <v>0.18</v>
      </c>
      <c r="D35" t="s">
        <v>31</v>
      </c>
      <c r="E35" t="s">
        <v>83</v>
      </c>
      <c r="F35" s="13">
        <v>0.20740740740740729</v>
      </c>
      <c r="G35" s="13">
        <v>0.20740740740740729</v>
      </c>
      <c r="H35" t="s">
        <v>17</v>
      </c>
    </row>
    <row r="36" spans="1:8" x14ac:dyDescent="0.35">
      <c r="A36" t="s">
        <v>68</v>
      </c>
      <c r="B36" s="13">
        <v>5.45E-2</v>
      </c>
      <c r="C36">
        <v>0.45</v>
      </c>
      <c r="D36" t="s">
        <v>40</v>
      </c>
      <c r="E36" t="s">
        <v>39</v>
      </c>
      <c r="F36" s="13">
        <v>-2.4590163934426229E-2</v>
      </c>
      <c r="G36" s="13">
        <v>9.0163934426229511E-2</v>
      </c>
      <c r="H36" t="s">
        <v>18</v>
      </c>
    </row>
    <row r="37" spans="1:8" x14ac:dyDescent="0.35">
      <c r="A37" t="s">
        <v>71</v>
      </c>
      <c r="B37" s="13">
        <v>5.1999999999999998E-2</v>
      </c>
      <c r="C37">
        <v>0.99</v>
      </c>
      <c r="D37" t="s">
        <v>31</v>
      </c>
      <c r="E37" t="s">
        <v>39</v>
      </c>
      <c r="F37" s="13">
        <v>0.15960912052117279</v>
      </c>
      <c r="G37" s="13">
        <v>0.22475570032573311</v>
      </c>
      <c r="H37" t="s">
        <v>18</v>
      </c>
    </row>
    <row r="38" spans="1:8" x14ac:dyDescent="0.35">
      <c r="A38" t="s">
        <v>33</v>
      </c>
      <c r="B38" s="13">
        <v>5.1499999999999997E-2</v>
      </c>
      <c r="C38">
        <v>0.53</v>
      </c>
      <c r="D38" t="s">
        <v>31</v>
      </c>
      <c r="E38" t="s">
        <v>59</v>
      </c>
      <c r="F38" s="13">
        <v>0.23814335703089121</v>
      </c>
      <c r="G38" s="13">
        <v>0.23814335703089121</v>
      </c>
      <c r="H38" t="s">
        <v>17</v>
      </c>
    </row>
    <row r="39" spans="1:8" x14ac:dyDescent="0.35">
      <c r="A39" t="s">
        <v>69</v>
      </c>
      <c r="B39" s="13">
        <v>5.0200000000000002E-2</v>
      </c>
      <c r="C39">
        <v>0.15</v>
      </c>
      <c r="D39" t="s">
        <v>40</v>
      </c>
      <c r="E39" t="s">
        <v>39</v>
      </c>
      <c r="F39" s="13">
        <v>-1.875000000000001E-2</v>
      </c>
      <c r="G39" s="13">
        <v>6.8749999999999992E-2</v>
      </c>
      <c r="H39" t="s">
        <v>18</v>
      </c>
    </row>
    <row r="40" spans="1:8" x14ac:dyDescent="0.35">
      <c r="A40" t="s">
        <v>84</v>
      </c>
      <c r="B40" s="13">
        <v>4.9500000000000002E-2</v>
      </c>
      <c r="C40">
        <v>0.85</v>
      </c>
      <c r="D40" t="s">
        <v>40</v>
      </c>
      <c r="E40" t="s">
        <v>85</v>
      </c>
      <c r="F40" s="13">
        <v>-0.18709677419354839</v>
      </c>
      <c r="G40" s="13">
        <v>0</v>
      </c>
      <c r="H40" t="s">
        <v>16</v>
      </c>
    </row>
    <row r="41" spans="1:8" x14ac:dyDescent="0.35">
      <c r="A41" t="s">
        <v>86</v>
      </c>
      <c r="B41" s="13">
        <v>4.0800000000000003E-2</v>
      </c>
      <c r="C41">
        <v>0.53</v>
      </c>
      <c r="D41" t="s">
        <v>40</v>
      </c>
      <c r="E41" t="s">
        <v>39</v>
      </c>
      <c r="F41" s="13">
        <v>-1.4141414141414231E-2</v>
      </c>
      <c r="G41" s="13">
        <v>8.6868686868686776E-2</v>
      </c>
      <c r="H41" t="s">
        <v>18</v>
      </c>
    </row>
    <row r="42" spans="1:8" x14ac:dyDescent="0.35">
      <c r="A42" t="s">
        <v>87</v>
      </c>
      <c r="B42" s="13">
        <v>4.0099999999999997E-2</v>
      </c>
      <c r="C42">
        <v>0.67</v>
      </c>
      <c r="D42" t="s">
        <v>40</v>
      </c>
      <c r="E42" t="s">
        <v>85</v>
      </c>
      <c r="F42" s="15">
        <v>-0.17837837837837839</v>
      </c>
      <c r="G42" s="13">
        <v>0.18378378378378379</v>
      </c>
      <c r="H42" t="s">
        <v>16</v>
      </c>
    </row>
    <row r="43" spans="1:8" x14ac:dyDescent="0.35">
      <c r="A43" s="18" t="s">
        <v>41</v>
      </c>
      <c r="B43" s="18"/>
      <c r="C43" s="18"/>
      <c r="D43" s="18"/>
      <c r="E43" s="18"/>
      <c r="F43" s="18"/>
      <c r="G43" s="18"/>
      <c r="H43" s="18"/>
    </row>
    <row r="44" spans="1:8" x14ac:dyDescent="0.35">
      <c r="A44" t="s">
        <v>67</v>
      </c>
      <c r="B44" s="13">
        <v>0.1764</v>
      </c>
      <c r="C44">
        <v>0.04</v>
      </c>
      <c r="D44" t="s">
        <v>40</v>
      </c>
      <c r="E44" t="s">
        <v>44</v>
      </c>
      <c r="F44" s="13">
        <v>-2.2871664548919951E-2</v>
      </c>
      <c r="G44" s="13">
        <v>1.9059720457433291E-2</v>
      </c>
      <c r="H44" t="s">
        <v>18</v>
      </c>
    </row>
    <row r="45" spans="1:8" x14ac:dyDescent="0.35">
      <c r="A45" t="s">
        <v>45</v>
      </c>
      <c r="B45" s="13">
        <v>0.1043</v>
      </c>
      <c r="C45">
        <v>0.38</v>
      </c>
      <c r="D45" t="s">
        <v>43</v>
      </c>
      <c r="E45" t="s">
        <v>44</v>
      </c>
      <c r="F45" s="13">
        <v>-3.3557046979865772E-2</v>
      </c>
      <c r="G45" s="13">
        <v>1.342281879194639E-2</v>
      </c>
      <c r="H45" t="s">
        <v>18</v>
      </c>
    </row>
    <row r="46" spans="1:8" x14ac:dyDescent="0.35">
      <c r="A46" t="s">
        <v>93</v>
      </c>
      <c r="B46" s="13">
        <v>7.7799999999999994E-2</v>
      </c>
      <c r="C46">
        <v>0.28000000000000003</v>
      </c>
      <c r="D46" t="s">
        <v>43</v>
      </c>
      <c r="E46" t="s">
        <v>94</v>
      </c>
      <c r="F46" s="13">
        <v>0.2011019283746556</v>
      </c>
      <c r="G46" s="13">
        <v>0.2011019283746556</v>
      </c>
      <c r="H46" t="s">
        <v>17</v>
      </c>
    </row>
    <row r="47" spans="1:8" x14ac:dyDescent="0.35">
      <c r="A47" t="s">
        <v>88</v>
      </c>
      <c r="B47" s="13">
        <v>7.6300000000000007E-2</v>
      </c>
      <c r="C47">
        <v>0.17</v>
      </c>
      <c r="D47" t="s">
        <v>43</v>
      </c>
      <c r="E47" t="s">
        <v>89</v>
      </c>
      <c r="F47" s="13">
        <v>-0.15789473684210531</v>
      </c>
      <c r="G47" s="13">
        <v>0</v>
      </c>
      <c r="H47" t="s">
        <v>16</v>
      </c>
    </row>
    <row r="48" spans="1:8" x14ac:dyDescent="0.35">
      <c r="A48" t="s">
        <v>63</v>
      </c>
      <c r="B48" s="13">
        <v>6.7100000000000007E-2</v>
      </c>
      <c r="C48">
        <v>0.51</v>
      </c>
      <c r="D48" t="s">
        <v>43</v>
      </c>
      <c r="E48" t="s">
        <v>44</v>
      </c>
      <c r="F48" s="13">
        <v>2.222222222222222E-2</v>
      </c>
      <c r="G48" s="13">
        <v>2.222222222222222E-2</v>
      </c>
      <c r="H48" t="s">
        <v>18</v>
      </c>
    </row>
    <row r="49" spans="1:8" x14ac:dyDescent="0.35">
      <c r="A49" t="s">
        <v>32</v>
      </c>
      <c r="B49" s="13">
        <v>6.3700000000000007E-2</v>
      </c>
      <c r="C49">
        <v>0.18</v>
      </c>
      <c r="D49" t="s">
        <v>43</v>
      </c>
      <c r="E49" t="s">
        <v>70</v>
      </c>
      <c r="F49" s="13">
        <v>-0.15568862275449111</v>
      </c>
      <c r="G49" s="13">
        <v>1.1976047904191579E-2</v>
      </c>
      <c r="H49" t="s">
        <v>16</v>
      </c>
    </row>
    <row r="50" spans="1:8" x14ac:dyDescent="0.35">
      <c r="A50" t="s">
        <v>19</v>
      </c>
      <c r="B50" s="13">
        <v>5.6800000000000003E-2</v>
      </c>
      <c r="C50">
        <v>0.49</v>
      </c>
      <c r="D50" t="s">
        <v>40</v>
      </c>
      <c r="E50" t="s">
        <v>61</v>
      </c>
      <c r="F50" s="13">
        <v>0.2043010752688173</v>
      </c>
      <c r="G50" s="13">
        <v>0.2043010752688173</v>
      </c>
      <c r="H50" t="s">
        <v>17</v>
      </c>
    </row>
    <row r="51" spans="1:8" x14ac:dyDescent="0.35">
      <c r="A51" t="s">
        <v>46</v>
      </c>
      <c r="B51" s="13">
        <v>5.6800000000000003E-2</v>
      </c>
      <c r="C51">
        <v>0.16</v>
      </c>
      <c r="D51" t="s">
        <v>43</v>
      </c>
      <c r="E51" t="s">
        <v>44</v>
      </c>
      <c r="F51">
        <v>4.2424242424242427E-2</v>
      </c>
      <c r="G51">
        <v>7.8787878787878782E-2</v>
      </c>
      <c r="H51" t="s">
        <v>18</v>
      </c>
    </row>
    <row r="52" spans="1:8" x14ac:dyDescent="0.35">
      <c r="A52" t="s">
        <v>57</v>
      </c>
      <c r="B52" s="13">
        <v>5.4800000000000001E-2</v>
      </c>
      <c r="C52">
        <v>0.22</v>
      </c>
      <c r="D52" t="s">
        <v>43</v>
      </c>
      <c r="E52" t="s">
        <v>90</v>
      </c>
      <c r="F52" s="13">
        <v>0.27195251286110023</v>
      </c>
      <c r="G52" s="13">
        <v>0.27195251286110023</v>
      </c>
      <c r="H52" t="s">
        <v>17</v>
      </c>
    </row>
    <row r="53" spans="1:8" x14ac:dyDescent="0.35">
      <c r="A53" t="s">
        <v>28</v>
      </c>
      <c r="B53" s="13">
        <v>5.1799999999999999E-2</v>
      </c>
      <c r="C53">
        <v>0.55000000000000004</v>
      </c>
      <c r="D53" t="s">
        <v>40</v>
      </c>
      <c r="E53" t="s">
        <v>62</v>
      </c>
      <c r="F53" s="13">
        <v>0.21595212057639809</v>
      </c>
      <c r="G53" s="13">
        <v>0.21595212057639809</v>
      </c>
      <c r="H53" t="s">
        <v>17</v>
      </c>
    </row>
    <row r="54" spans="1:8" x14ac:dyDescent="0.35">
      <c r="A54" t="s">
        <v>95</v>
      </c>
      <c r="B54" s="13">
        <v>4.7300000000000002E-2</v>
      </c>
      <c r="C54">
        <v>0.32</v>
      </c>
      <c r="D54" t="s">
        <v>43</v>
      </c>
      <c r="E54" t="s">
        <v>44</v>
      </c>
      <c r="F54" s="13">
        <v>-6.2857142857142834E-2</v>
      </c>
      <c r="G54" s="13">
        <v>8.5714285714285996E-3</v>
      </c>
      <c r="H54" t="s">
        <v>18</v>
      </c>
    </row>
    <row r="55" spans="1:8" x14ac:dyDescent="0.35">
      <c r="A55" t="s">
        <v>92</v>
      </c>
      <c r="B55" s="13">
        <v>4.24E-2</v>
      </c>
      <c r="C55">
        <v>0.16</v>
      </c>
      <c r="D55" t="s">
        <v>43</v>
      </c>
      <c r="E55" t="s">
        <v>44</v>
      </c>
      <c r="F55" s="13">
        <v>-2.3705936436621489E-2</v>
      </c>
      <c r="G55" s="13">
        <v>0</v>
      </c>
      <c r="H55" t="s">
        <v>18</v>
      </c>
    </row>
    <row r="56" spans="1:8" x14ac:dyDescent="0.35">
      <c r="A56" t="s">
        <v>91</v>
      </c>
      <c r="B56" s="13">
        <v>4.0500000000000001E-2</v>
      </c>
      <c r="C56">
        <v>0.96</v>
      </c>
      <c r="D56" t="s">
        <v>43</v>
      </c>
      <c r="E56" t="s">
        <v>44</v>
      </c>
      <c r="F56" s="13">
        <v>9.2007331704065762E-2</v>
      </c>
      <c r="G56" s="13">
        <v>0.14125472117307269</v>
      </c>
      <c r="H56" t="s">
        <v>18</v>
      </c>
    </row>
    <row r="57" spans="1:8" x14ac:dyDescent="0.35">
      <c r="A57" t="s">
        <v>82</v>
      </c>
      <c r="B57" s="13">
        <v>3.0800000000000001E-2</v>
      </c>
      <c r="C57">
        <v>0.76</v>
      </c>
      <c r="D57" t="s">
        <v>40</v>
      </c>
      <c r="E57" t="s">
        <v>44</v>
      </c>
      <c r="F57" s="13">
        <v>0.1941010998381679</v>
      </c>
      <c r="G57" s="13">
        <v>0.1941010998381679</v>
      </c>
      <c r="H57" t="s">
        <v>18</v>
      </c>
    </row>
    <row r="58" spans="1:8" x14ac:dyDescent="0.35">
      <c r="A58" t="s">
        <v>68</v>
      </c>
      <c r="B58" s="13">
        <v>2.8799999999999999E-2</v>
      </c>
      <c r="C58">
        <v>0.45</v>
      </c>
      <c r="D58" t="s">
        <v>40</v>
      </c>
      <c r="E58" t="s">
        <v>44</v>
      </c>
      <c r="F58" s="13">
        <v>-1.6393442622950821E-2</v>
      </c>
      <c r="G58" s="13">
        <v>9.0163934426229511E-2</v>
      </c>
      <c r="H58" t="s">
        <v>18</v>
      </c>
    </row>
    <row r="59" spans="1:8" x14ac:dyDescent="0.35">
      <c r="A59" t="s">
        <v>69</v>
      </c>
      <c r="B59" s="13">
        <v>2.4400000000000002E-2</v>
      </c>
      <c r="C59">
        <v>0.15</v>
      </c>
      <c r="D59" t="s">
        <v>40</v>
      </c>
      <c r="E59" t="s">
        <v>44</v>
      </c>
      <c r="F59" s="13">
        <v>1.590310854850925E-3</v>
      </c>
      <c r="G59" s="13">
        <v>6.8749999999999992E-2</v>
      </c>
      <c r="H59" t="s">
        <v>18</v>
      </c>
    </row>
  </sheetData>
  <sortState xmlns:xlrd2="http://schemas.microsoft.com/office/spreadsheetml/2017/richdata2" ref="A44:H59">
    <sortCondition descending="1" ref="B44:B59"/>
  </sortState>
  <mergeCells count="4">
    <mergeCell ref="A2:H2"/>
    <mergeCell ref="A13:H13"/>
    <mergeCell ref="A28:H28"/>
    <mergeCell ref="A43:H43"/>
  </mergeCells>
  <conditionalFormatting sqref="A1:A2">
    <cfRule type="duplicateValues" dxfId="19" priority="20"/>
  </conditionalFormatting>
  <conditionalFormatting sqref="A1:A1048576">
    <cfRule type="duplicateValues" dxfId="18" priority="16"/>
  </conditionalFormatting>
  <conditionalFormatting sqref="A13">
    <cfRule type="duplicateValues" dxfId="17" priority="13"/>
  </conditionalFormatting>
  <conditionalFormatting sqref="A28">
    <cfRule type="duplicateValues" dxfId="16" priority="10"/>
  </conditionalFormatting>
  <conditionalFormatting sqref="A43">
    <cfRule type="duplicateValues" dxfId="15" priority="6"/>
  </conditionalFormatting>
  <conditionalFormatting sqref="A2:H59">
    <cfRule type="cellIs" dxfId="14" priority="45" operator="equal">
      <formula>"Keep Position"</formula>
    </cfRule>
  </conditionalFormatting>
  <conditionalFormatting sqref="F1:F1048576">
    <cfRule type="cellIs" dxfId="13" priority="26" operator="lessThan">
      <formula>0</formula>
    </cfRule>
  </conditionalFormatting>
  <conditionalFormatting sqref="H1:H1048576">
    <cfRule type="cellIs" dxfId="12" priority="2" operator="equal">
      <formula>"Stop Loss"</formula>
    </cfRule>
    <cfRule type="cellIs" dxfId="11" priority="3" operator="equal">
      <formula>"Take Profit"</formula>
    </cfRule>
  </conditionalFormatting>
  <conditionalFormatting sqref="H58">
    <cfRule type="cellIs" dxfId="10" priority="1" operator="equal">
      <formula>"Keep Position"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Daily_Returns</vt:lpstr>
      <vt:lpstr>Trades_Log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Phuong Uyen</cp:lastModifiedBy>
  <dcterms:created xsi:type="dcterms:W3CDTF">2026-02-27T07:43:10Z</dcterms:created>
  <dcterms:modified xsi:type="dcterms:W3CDTF">2026-03-13T06:06:36Z</dcterms:modified>
</cp:coreProperties>
</file>