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13_ncr:1_{0850584F-680A-4C97-89E0-801AC00B901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ummary" sheetId="1" r:id="rId1"/>
    <sheet name="Daily_Returns" sheetId="2" r:id="rId2"/>
    <sheet name="Trades_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D9" i="1"/>
  <c r="E10" i="1"/>
  <c r="E9" i="1"/>
  <c r="D10" i="1"/>
  <c r="C10" i="1"/>
  <c r="C9" i="1"/>
  <c r="B9" i="1"/>
  <c r="B10" i="1"/>
</calcChain>
</file>

<file path=xl/sharedStrings.xml><?xml version="1.0" encoding="utf-8"?>
<sst xmlns="http://schemas.openxmlformats.org/spreadsheetml/2006/main" count="245" uniqueCount="110">
  <si>
    <t>Metric</t>
  </si>
  <si>
    <t>Initial Capital</t>
  </si>
  <si>
    <t>Final NAV</t>
  </si>
  <si>
    <t>Profit/Loss</t>
  </si>
  <si>
    <t>Max Drawdown (%)</t>
  </si>
  <si>
    <t>Max Loss (%)</t>
  </si>
  <si>
    <t>Date</t>
  </si>
  <si>
    <t>NAV</t>
  </si>
  <si>
    <t>Symbol</t>
  </si>
  <si>
    <t>Weight</t>
  </si>
  <si>
    <t>Beta</t>
  </si>
  <si>
    <t>Entry_Date</t>
  </si>
  <si>
    <t>Exit_Date</t>
  </si>
  <si>
    <t>Return_Pct</t>
  </si>
  <si>
    <t>Highest_Return_Pct</t>
  </si>
  <si>
    <t>Exit_Reason</t>
  </si>
  <si>
    <t>Stop Loss</t>
  </si>
  <si>
    <t>Take Profit</t>
  </si>
  <si>
    <t>Keep Position</t>
  </si>
  <si>
    <t>LPB</t>
  </si>
  <si>
    <t>BFC</t>
  </si>
  <si>
    <t>Return at the end (%)</t>
  </si>
  <si>
    <t>Q1/2024</t>
  </si>
  <si>
    <t>2024Q1</t>
  </si>
  <si>
    <t>2024-01-02</t>
  </si>
  <si>
    <t>2024-03-11</t>
  </si>
  <si>
    <t>BMP</t>
  </si>
  <si>
    <t>2024-03-29</t>
  </si>
  <si>
    <t>DTP</t>
  </si>
  <si>
    <t>2024-01-25</t>
  </si>
  <si>
    <t>FOX</t>
  </si>
  <si>
    <t>HWS</t>
  </si>
  <si>
    <t>MCH</t>
  </si>
  <si>
    <t>VSH</t>
  </si>
  <si>
    <t>Q2/2024</t>
  </si>
  <si>
    <t>2024-06-28</t>
  </si>
  <si>
    <t>CHP</t>
  </si>
  <si>
    <t>2024-04-01</t>
  </si>
  <si>
    <t>2024-04-26</t>
  </si>
  <si>
    <t>IMP</t>
  </si>
  <si>
    <t>LIX</t>
  </si>
  <si>
    <t>MBB</t>
  </si>
  <si>
    <t>2024-04-23</t>
  </si>
  <si>
    <t>2024-05-17</t>
  </si>
  <si>
    <t>Q3/2024</t>
  </si>
  <si>
    <t>2024Q2</t>
  </si>
  <si>
    <t>2024Q3</t>
  </si>
  <si>
    <t>2024-09-30</t>
  </si>
  <si>
    <t>2024-07-01</t>
  </si>
  <si>
    <t>Q4/2024</t>
  </si>
  <si>
    <t>2024Q4</t>
  </si>
  <si>
    <t>ANT</t>
  </si>
  <si>
    <t>2024-10-01</t>
  </si>
  <si>
    <t>2024-12-31</t>
  </si>
  <si>
    <t>2024-11-07</t>
  </si>
  <si>
    <t>LHC</t>
  </si>
  <si>
    <t>VTZ</t>
  </si>
  <si>
    <t>AIC</t>
  </si>
  <si>
    <t>2024-02-16</t>
  </si>
  <si>
    <t>CMG</t>
  </si>
  <si>
    <t>ELC</t>
  </si>
  <si>
    <t>HAG</t>
  </si>
  <si>
    <t>2024-02-23</t>
  </si>
  <si>
    <t>SBA</t>
  </si>
  <si>
    <t>2024-02-28</t>
  </si>
  <si>
    <t>2024-02-06</t>
  </si>
  <si>
    <t>BIC</t>
  </si>
  <si>
    <t>2024-05-28</t>
  </si>
  <si>
    <t>NTL</t>
  </si>
  <si>
    <t>2024-06-10</t>
  </si>
  <si>
    <t>SCL</t>
  </si>
  <si>
    <t>2024-05-08</t>
  </si>
  <si>
    <t>TCB</t>
  </si>
  <si>
    <t>VGI</t>
  </si>
  <si>
    <t>2024-09-11</t>
  </si>
  <si>
    <t>2024-09-04</t>
  </si>
  <si>
    <t>DHT</t>
  </si>
  <si>
    <t>2024-07-15</t>
  </si>
  <si>
    <t>2024-07-30</t>
  </si>
  <si>
    <t>2024-07-16</t>
  </si>
  <si>
    <t>PVI</t>
  </si>
  <si>
    <t>2024-08-30</t>
  </si>
  <si>
    <t>TCM</t>
  </si>
  <si>
    <t>TTN</t>
  </si>
  <si>
    <t>2024-07-17</t>
  </si>
  <si>
    <t>2024-07-22</t>
  </si>
  <si>
    <t>VIP</t>
  </si>
  <si>
    <t>2024-07-10</t>
  </si>
  <si>
    <t>VOS</t>
  </si>
  <si>
    <t>2024-08-05</t>
  </si>
  <si>
    <t>VTO</t>
  </si>
  <si>
    <t>2024-11-04</t>
  </si>
  <si>
    <t>DBD</t>
  </si>
  <si>
    <t>2024-11-29</t>
  </si>
  <si>
    <t>2024-10-21</t>
  </si>
  <si>
    <t>2024-10-09</t>
  </si>
  <si>
    <t>MBS</t>
  </si>
  <si>
    <t>2024-10-24</t>
  </si>
  <si>
    <t>2024-12-24</t>
  </si>
  <si>
    <t>MSB</t>
  </si>
  <si>
    <t>2024-11-11</t>
  </si>
  <si>
    <t>NCT</t>
  </si>
  <si>
    <t>TDP</t>
  </si>
  <si>
    <t>VGS</t>
  </si>
  <si>
    <t>2024-10-22</t>
  </si>
  <si>
    <t>VPI</t>
  </si>
  <si>
    <t>Win Rate (%) - Return &gt; 0</t>
  </si>
  <si>
    <t>Take Profit (%)</t>
  </si>
  <si>
    <t>Stop Loss (%)</t>
  </si>
  <si>
    <t>#Nhưng chỉ có 3 mã lỗ trên -15%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</si>
</sst>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0" fillId="0" borderId="0" xfId="1" applyNumberFormat="1" applyFont="1"/>
    <xf numFmtId="164" fontId="1" fillId="0" borderId="1" xfId="1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0" fontId="1" fillId="0" borderId="1" xfId="2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2" borderId="0" xfId="0" applyNumberFormat="1" applyFill="1"/>
    <xf numFmtId="164" fontId="0" fillId="2" borderId="0" xfId="1" applyNumberFormat="1" applyFont="1" applyFill="1"/>
    <xf numFmtId="10" fontId="0" fillId="0" borderId="0" xfId="2" applyNumberFormat="1" applyFont="1"/>
    <xf numFmtId="0" fontId="3" fillId="0" borderId="0" xfId="0" applyFont="1"/>
    <xf numFmtId="10" fontId="3" fillId="0" borderId="0" xfId="2" applyNumberFormat="1" applyFont="1"/>
    <xf numFmtId="10" fontId="0" fillId="0" borderId="1" xfId="2" applyNumberFormat="1" applyFont="1" applyBorder="1"/>
    <xf numFmtId="0" fontId="1" fillId="0" borderId="2" xfId="0" applyFont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10">
    <dxf>
      <fill>
        <patternFill>
          <bgColor rgb="FFFFFF00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Daily_Returns!$B$1</c:f>
              <c:strCache>
                <c:ptCount val="1"/>
                <c:pt idx="0">
                  <c:v> NAV 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0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3EF-4CC2-ABA1-E984CD896B1A}"/>
              </c:ext>
            </c:extLst>
          </c:dPt>
          <c:dPt>
            <c:idx val="57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3EF-4CC2-ABA1-E984CD896B1A}"/>
              </c:ext>
            </c:extLst>
          </c:dPt>
          <c:dPt>
            <c:idx val="58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3EF-4CC2-ABA1-E984CD896B1A}"/>
              </c:ext>
            </c:extLst>
          </c:dPt>
          <c:dPt>
            <c:idx val="11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3EF-4CC2-ABA1-E984CD896B1A}"/>
              </c:ext>
            </c:extLst>
          </c:dPt>
          <c:dPt>
            <c:idx val="119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3EF-4CC2-ABA1-E984CD896B1A}"/>
              </c:ext>
            </c:extLst>
          </c:dPt>
          <c:dPt>
            <c:idx val="13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3EF-4CC2-ABA1-E984CD896B1A}"/>
              </c:ext>
            </c:extLst>
          </c:dPt>
          <c:dPt>
            <c:idx val="175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3EF-4CC2-ABA1-E984CD896B1A}"/>
              </c:ext>
            </c:extLst>
          </c:dPt>
          <c:dPt>
            <c:idx val="183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3EF-4CC2-ABA1-E984CD896B1A}"/>
              </c:ext>
            </c:extLst>
          </c:dPt>
          <c:dPt>
            <c:idx val="24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3EF-4CC2-ABA1-E984CD896B1A}"/>
              </c:ext>
            </c:extLst>
          </c:dPt>
          <c:dPt>
            <c:idx val="249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3EF-4CC2-ABA1-E984CD896B1A}"/>
              </c:ext>
            </c:extLst>
          </c:dPt>
          <c:cat>
            <c:numRef>
              <c:f>Daily_Returns!$A$2:$A$251</c:f>
              <c:numCache>
                <c:formatCode>m/d/yyyy</c:formatCode>
                <c:ptCount val="250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45320</c:v>
                </c:pt>
                <c:pt idx="20">
                  <c:v>45321</c:v>
                </c:pt>
                <c:pt idx="21">
                  <c:v>45322</c:v>
                </c:pt>
                <c:pt idx="22">
                  <c:v>45323</c:v>
                </c:pt>
                <c:pt idx="23">
                  <c:v>45324</c:v>
                </c:pt>
                <c:pt idx="24">
                  <c:v>45327</c:v>
                </c:pt>
                <c:pt idx="25">
                  <c:v>45328</c:v>
                </c:pt>
                <c:pt idx="26">
                  <c:v>45329</c:v>
                </c:pt>
                <c:pt idx="27">
                  <c:v>45337</c:v>
                </c:pt>
                <c:pt idx="28">
                  <c:v>45338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45386</c:v>
                </c:pt>
                <c:pt idx="63">
                  <c:v>45387</c:v>
                </c:pt>
                <c:pt idx="64">
                  <c:v>45390</c:v>
                </c:pt>
                <c:pt idx="65">
                  <c:v>45391</c:v>
                </c:pt>
                <c:pt idx="66">
                  <c:v>45392</c:v>
                </c:pt>
                <c:pt idx="67">
                  <c:v>45393</c:v>
                </c:pt>
                <c:pt idx="68">
                  <c:v>45394</c:v>
                </c:pt>
                <c:pt idx="69">
                  <c:v>45397</c:v>
                </c:pt>
                <c:pt idx="70">
                  <c:v>45398</c:v>
                </c:pt>
                <c:pt idx="71">
                  <c:v>45399</c:v>
                </c:pt>
                <c:pt idx="72">
                  <c:v>45401</c:v>
                </c:pt>
                <c:pt idx="73">
                  <c:v>45404</c:v>
                </c:pt>
                <c:pt idx="74">
                  <c:v>45405</c:v>
                </c:pt>
                <c:pt idx="75">
                  <c:v>45406</c:v>
                </c:pt>
                <c:pt idx="76">
                  <c:v>45407</c:v>
                </c:pt>
                <c:pt idx="77">
                  <c:v>45408</c:v>
                </c:pt>
                <c:pt idx="78">
                  <c:v>45414</c:v>
                </c:pt>
                <c:pt idx="79">
                  <c:v>45415</c:v>
                </c:pt>
                <c:pt idx="80">
                  <c:v>45418</c:v>
                </c:pt>
                <c:pt idx="81">
                  <c:v>45419</c:v>
                </c:pt>
                <c:pt idx="82">
                  <c:v>45420</c:v>
                </c:pt>
                <c:pt idx="83">
                  <c:v>45421</c:v>
                </c:pt>
                <c:pt idx="84">
                  <c:v>45422</c:v>
                </c:pt>
                <c:pt idx="85">
                  <c:v>45425</c:v>
                </c:pt>
                <c:pt idx="86">
                  <c:v>45426</c:v>
                </c:pt>
                <c:pt idx="87">
                  <c:v>45427</c:v>
                </c:pt>
                <c:pt idx="88">
                  <c:v>45428</c:v>
                </c:pt>
                <c:pt idx="89">
                  <c:v>45429</c:v>
                </c:pt>
                <c:pt idx="90">
                  <c:v>45432</c:v>
                </c:pt>
                <c:pt idx="91">
                  <c:v>45433</c:v>
                </c:pt>
                <c:pt idx="92">
                  <c:v>45434</c:v>
                </c:pt>
                <c:pt idx="93">
                  <c:v>45435</c:v>
                </c:pt>
                <c:pt idx="94">
                  <c:v>45436</c:v>
                </c:pt>
                <c:pt idx="95">
                  <c:v>45439</c:v>
                </c:pt>
                <c:pt idx="96">
                  <c:v>45440</c:v>
                </c:pt>
                <c:pt idx="97">
                  <c:v>45441</c:v>
                </c:pt>
                <c:pt idx="98">
                  <c:v>45442</c:v>
                </c:pt>
                <c:pt idx="99">
                  <c:v>45443</c:v>
                </c:pt>
                <c:pt idx="100">
                  <c:v>45446</c:v>
                </c:pt>
                <c:pt idx="101">
                  <c:v>45447</c:v>
                </c:pt>
                <c:pt idx="102">
                  <c:v>45448</c:v>
                </c:pt>
                <c:pt idx="103">
                  <c:v>45449</c:v>
                </c:pt>
                <c:pt idx="104">
                  <c:v>45450</c:v>
                </c:pt>
                <c:pt idx="105">
                  <c:v>45453</c:v>
                </c:pt>
                <c:pt idx="106">
                  <c:v>45454</c:v>
                </c:pt>
                <c:pt idx="107">
                  <c:v>45455</c:v>
                </c:pt>
                <c:pt idx="108">
                  <c:v>45456</c:v>
                </c:pt>
                <c:pt idx="109">
                  <c:v>45457</c:v>
                </c:pt>
                <c:pt idx="110">
                  <c:v>45460</c:v>
                </c:pt>
                <c:pt idx="111">
                  <c:v>45461</c:v>
                </c:pt>
                <c:pt idx="112">
                  <c:v>45462</c:v>
                </c:pt>
                <c:pt idx="113">
                  <c:v>45463</c:v>
                </c:pt>
                <c:pt idx="114">
                  <c:v>45464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45474</c:v>
                </c:pt>
                <c:pt idx="121">
                  <c:v>45475</c:v>
                </c:pt>
                <c:pt idx="122">
                  <c:v>45476</c:v>
                </c:pt>
                <c:pt idx="123">
                  <c:v>45477</c:v>
                </c:pt>
                <c:pt idx="124">
                  <c:v>45478</c:v>
                </c:pt>
                <c:pt idx="125">
                  <c:v>45481</c:v>
                </c:pt>
                <c:pt idx="126">
                  <c:v>45482</c:v>
                </c:pt>
                <c:pt idx="127">
                  <c:v>45483</c:v>
                </c:pt>
                <c:pt idx="128">
                  <c:v>45484</c:v>
                </c:pt>
                <c:pt idx="129">
                  <c:v>45485</c:v>
                </c:pt>
                <c:pt idx="130">
                  <c:v>45488</c:v>
                </c:pt>
                <c:pt idx="131">
                  <c:v>45489</c:v>
                </c:pt>
                <c:pt idx="132">
                  <c:v>45490</c:v>
                </c:pt>
                <c:pt idx="133">
                  <c:v>45491</c:v>
                </c:pt>
                <c:pt idx="134">
                  <c:v>45492</c:v>
                </c:pt>
                <c:pt idx="135">
                  <c:v>45495</c:v>
                </c:pt>
                <c:pt idx="136">
                  <c:v>45496</c:v>
                </c:pt>
                <c:pt idx="137">
                  <c:v>45497</c:v>
                </c:pt>
                <c:pt idx="138">
                  <c:v>45498</c:v>
                </c:pt>
                <c:pt idx="139">
                  <c:v>45499</c:v>
                </c:pt>
                <c:pt idx="140">
                  <c:v>45502</c:v>
                </c:pt>
                <c:pt idx="141">
                  <c:v>45503</c:v>
                </c:pt>
                <c:pt idx="142">
                  <c:v>45504</c:v>
                </c:pt>
                <c:pt idx="143">
                  <c:v>45505</c:v>
                </c:pt>
                <c:pt idx="144">
                  <c:v>45506</c:v>
                </c:pt>
                <c:pt idx="145">
                  <c:v>45509</c:v>
                </c:pt>
                <c:pt idx="146">
                  <c:v>45510</c:v>
                </c:pt>
                <c:pt idx="147">
                  <c:v>45511</c:v>
                </c:pt>
                <c:pt idx="148">
                  <c:v>45512</c:v>
                </c:pt>
                <c:pt idx="149">
                  <c:v>45513</c:v>
                </c:pt>
                <c:pt idx="150">
                  <c:v>45516</c:v>
                </c:pt>
                <c:pt idx="151">
                  <c:v>45517</c:v>
                </c:pt>
                <c:pt idx="152">
                  <c:v>45518</c:v>
                </c:pt>
                <c:pt idx="153">
                  <c:v>45519</c:v>
                </c:pt>
                <c:pt idx="154">
                  <c:v>45520</c:v>
                </c:pt>
                <c:pt idx="155">
                  <c:v>45523</c:v>
                </c:pt>
                <c:pt idx="156">
                  <c:v>45524</c:v>
                </c:pt>
                <c:pt idx="157">
                  <c:v>45525</c:v>
                </c:pt>
                <c:pt idx="158">
                  <c:v>45526</c:v>
                </c:pt>
                <c:pt idx="159">
                  <c:v>45527</c:v>
                </c:pt>
                <c:pt idx="160">
                  <c:v>45530</c:v>
                </c:pt>
                <c:pt idx="161">
                  <c:v>45531</c:v>
                </c:pt>
                <c:pt idx="162">
                  <c:v>45532</c:v>
                </c:pt>
                <c:pt idx="163">
                  <c:v>45533</c:v>
                </c:pt>
                <c:pt idx="164">
                  <c:v>45534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45551</c:v>
                </c:pt>
                <c:pt idx="174">
                  <c:v>45552</c:v>
                </c:pt>
                <c:pt idx="175">
                  <c:v>45553</c:v>
                </c:pt>
                <c:pt idx="176">
                  <c:v>45554</c:v>
                </c:pt>
                <c:pt idx="177">
                  <c:v>45555</c:v>
                </c:pt>
                <c:pt idx="178">
                  <c:v>45558</c:v>
                </c:pt>
                <c:pt idx="179">
                  <c:v>45559</c:v>
                </c:pt>
                <c:pt idx="180">
                  <c:v>45560</c:v>
                </c:pt>
                <c:pt idx="181">
                  <c:v>45561</c:v>
                </c:pt>
                <c:pt idx="182">
                  <c:v>45562</c:v>
                </c:pt>
                <c:pt idx="183">
                  <c:v>45565</c:v>
                </c:pt>
                <c:pt idx="184">
                  <c:v>45566</c:v>
                </c:pt>
                <c:pt idx="185">
                  <c:v>45567</c:v>
                </c:pt>
                <c:pt idx="186">
                  <c:v>45568</c:v>
                </c:pt>
                <c:pt idx="187">
                  <c:v>45569</c:v>
                </c:pt>
                <c:pt idx="188">
                  <c:v>45572</c:v>
                </c:pt>
                <c:pt idx="189">
                  <c:v>45573</c:v>
                </c:pt>
                <c:pt idx="190">
                  <c:v>45574</c:v>
                </c:pt>
                <c:pt idx="191">
                  <c:v>45575</c:v>
                </c:pt>
                <c:pt idx="192">
                  <c:v>45576</c:v>
                </c:pt>
                <c:pt idx="193">
                  <c:v>45579</c:v>
                </c:pt>
                <c:pt idx="194">
                  <c:v>45580</c:v>
                </c:pt>
                <c:pt idx="195">
                  <c:v>45581</c:v>
                </c:pt>
                <c:pt idx="196">
                  <c:v>45582</c:v>
                </c:pt>
                <c:pt idx="197">
                  <c:v>45583</c:v>
                </c:pt>
                <c:pt idx="198">
                  <c:v>45586</c:v>
                </c:pt>
                <c:pt idx="199">
                  <c:v>45587</c:v>
                </c:pt>
                <c:pt idx="200">
                  <c:v>45588</c:v>
                </c:pt>
                <c:pt idx="201">
                  <c:v>45589</c:v>
                </c:pt>
                <c:pt idx="202">
                  <c:v>45590</c:v>
                </c:pt>
                <c:pt idx="203">
                  <c:v>45593</c:v>
                </c:pt>
                <c:pt idx="204">
                  <c:v>45594</c:v>
                </c:pt>
                <c:pt idx="205">
                  <c:v>45595</c:v>
                </c:pt>
                <c:pt idx="206">
                  <c:v>45596</c:v>
                </c:pt>
                <c:pt idx="207">
                  <c:v>45597</c:v>
                </c:pt>
                <c:pt idx="208">
                  <c:v>45600</c:v>
                </c:pt>
                <c:pt idx="209">
                  <c:v>45601</c:v>
                </c:pt>
                <c:pt idx="210">
                  <c:v>45602</c:v>
                </c:pt>
                <c:pt idx="211">
                  <c:v>45603</c:v>
                </c:pt>
                <c:pt idx="212">
                  <c:v>45604</c:v>
                </c:pt>
                <c:pt idx="213">
                  <c:v>45607</c:v>
                </c:pt>
                <c:pt idx="214">
                  <c:v>45608</c:v>
                </c:pt>
                <c:pt idx="215">
                  <c:v>45609</c:v>
                </c:pt>
                <c:pt idx="216">
                  <c:v>45610</c:v>
                </c:pt>
                <c:pt idx="217">
                  <c:v>45611</c:v>
                </c:pt>
                <c:pt idx="218">
                  <c:v>45614</c:v>
                </c:pt>
                <c:pt idx="219">
                  <c:v>45615</c:v>
                </c:pt>
                <c:pt idx="220">
                  <c:v>45616</c:v>
                </c:pt>
                <c:pt idx="221">
                  <c:v>45617</c:v>
                </c:pt>
                <c:pt idx="222">
                  <c:v>45618</c:v>
                </c:pt>
                <c:pt idx="223">
                  <c:v>45621</c:v>
                </c:pt>
                <c:pt idx="224">
                  <c:v>45622</c:v>
                </c:pt>
                <c:pt idx="225">
                  <c:v>45623</c:v>
                </c:pt>
                <c:pt idx="226">
                  <c:v>45624</c:v>
                </c:pt>
                <c:pt idx="227">
                  <c:v>45625</c:v>
                </c:pt>
                <c:pt idx="228">
                  <c:v>45628</c:v>
                </c:pt>
                <c:pt idx="229">
                  <c:v>45629</c:v>
                </c:pt>
                <c:pt idx="230">
                  <c:v>45630</c:v>
                </c:pt>
                <c:pt idx="231">
                  <c:v>45631</c:v>
                </c:pt>
                <c:pt idx="232">
                  <c:v>45632</c:v>
                </c:pt>
                <c:pt idx="233">
                  <c:v>45635</c:v>
                </c:pt>
                <c:pt idx="234">
                  <c:v>45636</c:v>
                </c:pt>
                <c:pt idx="235">
                  <c:v>45637</c:v>
                </c:pt>
                <c:pt idx="236">
                  <c:v>45638</c:v>
                </c:pt>
                <c:pt idx="237">
                  <c:v>45639</c:v>
                </c:pt>
                <c:pt idx="238">
                  <c:v>45642</c:v>
                </c:pt>
                <c:pt idx="239">
                  <c:v>45643</c:v>
                </c:pt>
                <c:pt idx="240">
                  <c:v>45644</c:v>
                </c:pt>
                <c:pt idx="241">
                  <c:v>45645</c:v>
                </c:pt>
                <c:pt idx="242">
                  <c:v>45646</c:v>
                </c:pt>
                <c:pt idx="243">
                  <c:v>45649</c:v>
                </c:pt>
                <c:pt idx="244">
                  <c:v>45650</c:v>
                </c:pt>
                <c:pt idx="245">
                  <c:v>45651</c:v>
                </c:pt>
                <c:pt idx="246">
                  <c:v>45652</c:v>
                </c:pt>
                <c:pt idx="247">
                  <c:v>45653</c:v>
                </c:pt>
                <c:pt idx="248">
                  <c:v>45656</c:v>
                </c:pt>
                <c:pt idx="249">
                  <c:v>45657</c:v>
                </c:pt>
              </c:numCache>
            </c:numRef>
          </c:cat>
          <c:val>
            <c:numRef>
              <c:f>Daily_Returns!$B$2:$B$251</c:f>
              <c:numCache>
                <c:formatCode>_(* #,##0_);_(* \(#,##0\);_(* "-"??_);_(@_)</c:formatCode>
                <c:ptCount val="250"/>
                <c:pt idx="0">
                  <c:v>1000000000</c:v>
                </c:pt>
                <c:pt idx="1">
                  <c:v>1007320893.346239</c:v>
                </c:pt>
                <c:pt idx="2">
                  <c:v>1000262162.537738</c:v>
                </c:pt>
                <c:pt idx="3">
                  <c:v>998447205.08150792</c:v>
                </c:pt>
                <c:pt idx="4">
                  <c:v>993874867.35750413</c:v>
                </c:pt>
                <c:pt idx="5">
                  <c:v>1000673012.792282</c:v>
                </c:pt>
                <c:pt idx="6">
                  <c:v>995733815.89417744</c:v>
                </c:pt>
                <c:pt idx="7">
                  <c:v>1005106006.0281169</c:v>
                </c:pt>
                <c:pt idx="8">
                  <c:v>997661828.11488485</c:v>
                </c:pt>
                <c:pt idx="9">
                  <c:v>997828745.4959892</c:v>
                </c:pt>
                <c:pt idx="10">
                  <c:v>1004624111.9748321</c:v>
                </c:pt>
                <c:pt idx="11">
                  <c:v>999068670.78524435</c:v>
                </c:pt>
                <c:pt idx="12">
                  <c:v>1000673951.930179</c:v>
                </c:pt>
                <c:pt idx="13">
                  <c:v>1004905849.0516649</c:v>
                </c:pt>
                <c:pt idx="14">
                  <c:v>1016442187.256595</c:v>
                </c:pt>
                <c:pt idx="15">
                  <c:v>1021411340.250104</c:v>
                </c:pt>
                <c:pt idx="16">
                  <c:v>1017742252.789431</c:v>
                </c:pt>
                <c:pt idx="17">
                  <c:v>1019234609.234949</c:v>
                </c:pt>
                <c:pt idx="18">
                  <c:v>1022704059.9319789</c:v>
                </c:pt>
                <c:pt idx="19">
                  <c:v>1030261576.149308</c:v>
                </c:pt>
                <c:pt idx="20">
                  <c:v>1037906241.981962</c:v>
                </c:pt>
                <c:pt idx="21">
                  <c:v>1029307979.221876</c:v>
                </c:pt>
                <c:pt idx="22">
                  <c:v>1044236582.926527</c:v>
                </c:pt>
                <c:pt idx="23">
                  <c:v>1041132422.021588</c:v>
                </c:pt>
                <c:pt idx="24">
                  <c:v>1039788232.608654</c:v>
                </c:pt>
                <c:pt idx="25">
                  <c:v>1042353069.299081</c:v>
                </c:pt>
                <c:pt idx="26">
                  <c:v>1044784651.926103</c:v>
                </c:pt>
                <c:pt idx="27">
                  <c:v>1045415602.9878139</c:v>
                </c:pt>
                <c:pt idx="28">
                  <c:v>1037329458.649773</c:v>
                </c:pt>
                <c:pt idx="29">
                  <c:v>1039126876.079043</c:v>
                </c:pt>
                <c:pt idx="30">
                  <c:v>1037485767.164456</c:v>
                </c:pt>
                <c:pt idx="31">
                  <c:v>1043952390.742936</c:v>
                </c:pt>
                <c:pt idx="32">
                  <c:v>1046659020.8322279</c:v>
                </c:pt>
                <c:pt idx="33">
                  <c:v>1047300120.378279</c:v>
                </c:pt>
                <c:pt idx="34">
                  <c:v>1052106045.393186</c:v>
                </c:pt>
                <c:pt idx="35">
                  <c:v>1058236942.3657351</c:v>
                </c:pt>
                <c:pt idx="36">
                  <c:v>1066364408.0087169</c:v>
                </c:pt>
                <c:pt idx="37">
                  <c:v>1065199728.689387</c:v>
                </c:pt>
                <c:pt idx="38">
                  <c:v>1067750965.74141</c:v>
                </c:pt>
                <c:pt idx="39">
                  <c:v>1064386249.4666229</c:v>
                </c:pt>
                <c:pt idx="40">
                  <c:v>1064465329.703305</c:v>
                </c:pt>
                <c:pt idx="41">
                  <c:v>1061135774.1352659</c:v>
                </c:pt>
                <c:pt idx="42">
                  <c:v>1066914116.424569</c:v>
                </c:pt>
                <c:pt idx="43">
                  <c:v>1064981239.826208</c:v>
                </c:pt>
                <c:pt idx="44">
                  <c:v>1072458586.28334</c:v>
                </c:pt>
                <c:pt idx="45">
                  <c:v>1082349024.3631699</c:v>
                </c:pt>
                <c:pt idx="46">
                  <c:v>1087246918.131058</c:v>
                </c:pt>
                <c:pt idx="47">
                  <c:v>1080311806.953373</c:v>
                </c:pt>
                <c:pt idx="48">
                  <c:v>1082874146.864954</c:v>
                </c:pt>
                <c:pt idx="49">
                  <c:v>1076302760.6594269</c:v>
                </c:pt>
                <c:pt idx="50">
                  <c:v>1077812226.3248601</c:v>
                </c:pt>
                <c:pt idx="51">
                  <c:v>1077444204.636091</c:v>
                </c:pt>
                <c:pt idx="52">
                  <c:v>1078266001.1416049</c:v>
                </c:pt>
                <c:pt idx="53">
                  <c:v>1078605764.743135</c:v>
                </c:pt>
                <c:pt idx="54">
                  <c:v>1071173633.961904</c:v>
                </c:pt>
                <c:pt idx="55">
                  <c:v>1072097992.271952</c:v>
                </c:pt>
                <c:pt idx="56">
                  <c:v>1077768748.8753171</c:v>
                </c:pt>
                <c:pt idx="57">
                  <c:v>1077649851.6021969</c:v>
                </c:pt>
                <c:pt idx="58">
                  <c:v>1078143206.2487111</c:v>
                </c:pt>
                <c:pt idx="59">
                  <c:v>1078143206</c:v>
                </c:pt>
                <c:pt idx="60">
                  <c:v>1096420247.296756</c:v>
                </c:pt>
                <c:pt idx="61">
                  <c:v>1103920511.6607749</c:v>
                </c:pt>
                <c:pt idx="62">
                  <c:v>1109849358.979039</c:v>
                </c:pt>
                <c:pt idx="63">
                  <c:v>1114635149.5924649</c:v>
                </c:pt>
                <c:pt idx="64">
                  <c:v>1102689588.8022771</c:v>
                </c:pt>
                <c:pt idx="65">
                  <c:v>1105339918.314275</c:v>
                </c:pt>
                <c:pt idx="66">
                  <c:v>1099612367.107285</c:v>
                </c:pt>
                <c:pt idx="67">
                  <c:v>1106419285.2868509</c:v>
                </c:pt>
                <c:pt idx="68">
                  <c:v>1116212563.334177</c:v>
                </c:pt>
                <c:pt idx="69">
                  <c:v>1083589553.2562239</c:v>
                </c:pt>
                <c:pt idx="70">
                  <c:v>1100976377.2365489</c:v>
                </c:pt>
                <c:pt idx="71">
                  <c:v>1087645593.0639639</c:v>
                </c:pt>
                <c:pt idx="72">
                  <c:v>1079873477.83109</c:v>
                </c:pt>
                <c:pt idx="73">
                  <c:v>1094862683.7921641</c:v>
                </c:pt>
                <c:pt idx="74">
                  <c:v>1103069652.9173501</c:v>
                </c:pt>
                <c:pt idx="75">
                  <c:v>1100698929.971431</c:v>
                </c:pt>
                <c:pt idx="76">
                  <c:v>1103801637.6073611</c:v>
                </c:pt>
                <c:pt idx="77">
                  <c:v>1107620552.1588509</c:v>
                </c:pt>
                <c:pt idx="78">
                  <c:v>1120512560.1412301</c:v>
                </c:pt>
                <c:pt idx="79">
                  <c:v>1129436502.7052879</c:v>
                </c:pt>
                <c:pt idx="80">
                  <c:v>1146278452.223784</c:v>
                </c:pt>
                <c:pt idx="81">
                  <c:v>1144607204.2022531</c:v>
                </c:pt>
                <c:pt idx="82">
                  <c:v>1154707287.5503261</c:v>
                </c:pt>
                <c:pt idx="83">
                  <c:v>1155399446.972507</c:v>
                </c:pt>
                <c:pt idx="84">
                  <c:v>1163253753.716296</c:v>
                </c:pt>
                <c:pt idx="85">
                  <c:v>1169733469.6247649</c:v>
                </c:pt>
                <c:pt idx="86">
                  <c:v>1171590220.9093051</c:v>
                </c:pt>
                <c:pt idx="87">
                  <c:v>1182400514.4571109</c:v>
                </c:pt>
                <c:pt idx="88">
                  <c:v>1193205531.399292</c:v>
                </c:pt>
                <c:pt idx="89">
                  <c:v>1205111291.5952761</c:v>
                </c:pt>
                <c:pt idx="90">
                  <c:v>1210434210.076308</c:v>
                </c:pt>
                <c:pt idx="91">
                  <c:v>1209682374.639354</c:v>
                </c:pt>
                <c:pt idx="92">
                  <c:v>1205955326.968744</c:v>
                </c:pt>
                <c:pt idx="93">
                  <c:v>1209248365.1818149</c:v>
                </c:pt>
                <c:pt idx="94">
                  <c:v>1202687536.72083</c:v>
                </c:pt>
                <c:pt idx="95">
                  <c:v>1210448548.959821</c:v>
                </c:pt>
                <c:pt idx="96">
                  <c:v>1218099235.5628409</c:v>
                </c:pt>
                <c:pt idx="97">
                  <c:v>1217438831.038779</c:v>
                </c:pt>
                <c:pt idx="98">
                  <c:v>1219208668.244406</c:v>
                </c:pt>
                <c:pt idx="99">
                  <c:v>1225476352.2521601</c:v>
                </c:pt>
                <c:pt idx="100">
                  <c:v>1224687819.823631</c:v>
                </c:pt>
                <c:pt idx="101">
                  <c:v>1227073364.0681069</c:v>
                </c:pt>
                <c:pt idx="102">
                  <c:v>1227768183.7029569</c:v>
                </c:pt>
                <c:pt idx="103">
                  <c:v>1228615817.105974</c:v>
                </c:pt>
                <c:pt idx="104">
                  <c:v>1230784879.3357551</c:v>
                </c:pt>
                <c:pt idx="105">
                  <c:v>1233780788.247514</c:v>
                </c:pt>
                <c:pt idx="106">
                  <c:v>1233576857.4803901</c:v>
                </c:pt>
                <c:pt idx="107">
                  <c:v>1237025941.9301751</c:v>
                </c:pt>
                <c:pt idx="108">
                  <c:v>1236346423.0914221</c:v>
                </c:pt>
                <c:pt idx="109">
                  <c:v>1233811523.919158</c:v>
                </c:pt>
                <c:pt idx="110">
                  <c:v>1233017715.7843921</c:v>
                </c:pt>
                <c:pt idx="111">
                  <c:v>1236188054.0663829</c:v>
                </c:pt>
                <c:pt idx="112">
                  <c:v>1234968432.9653821</c:v>
                </c:pt>
                <c:pt idx="113">
                  <c:v>1237014484.4218941</c:v>
                </c:pt>
                <c:pt idx="114">
                  <c:v>1234517765.488343</c:v>
                </c:pt>
                <c:pt idx="115">
                  <c:v>1226512746.2506571</c:v>
                </c:pt>
                <c:pt idx="116">
                  <c:v>1223144652.1837399</c:v>
                </c:pt>
                <c:pt idx="117">
                  <c:v>1223259062.0172801</c:v>
                </c:pt>
                <c:pt idx="118">
                  <c:v>1225794586.3689671</c:v>
                </c:pt>
                <c:pt idx="119">
                  <c:v>1227656184.268785</c:v>
                </c:pt>
                <c:pt idx="120">
                  <c:v>1227656184</c:v>
                </c:pt>
                <c:pt idx="121">
                  <c:v>1229187006.5457151</c:v>
                </c:pt>
                <c:pt idx="122">
                  <c:v>1250372482.4237189</c:v>
                </c:pt>
                <c:pt idx="123">
                  <c:v>1265682884.7462709</c:v>
                </c:pt>
                <c:pt idx="124">
                  <c:v>1279790010.364656</c:v>
                </c:pt>
                <c:pt idx="125">
                  <c:v>1294305097.1195891</c:v>
                </c:pt>
                <c:pt idx="126">
                  <c:v>1313824605.859859</c:v>
                </c:pt>
                <c:pt idx="127">
                  <c:v>1318223944.4784031</c:v>
                </c:pt>
                <c:pt idx="128">
                  <c:v>1312361984.792093</c:v>
                </c:pt>
                <c:pt idx="129">
                  <c:v>1303119029.873702</c:v>
                </c:pt>
                <c:pt idx="130">
                  <c:v>1319345179.38446</c:v>
                </c:pt>
                <c:pt idx="131">
                  <c:v>1309596939.6862619</c:v>
                </c:pt>
                <c:pt idx="132">
                  <c:v>1298128377.1386509</c:v>
                </c:pt>
                <c:pt idx="133">
                  <c:v>1302486180.32535</c:v>
                </c:pt>
                <c:pt idx="134">
                  <c:v>1296947085.0887749</c:v>
                </c:pt>
                <c:pt idx="135">
                  <c:v>1278333338.595274</c:v>
                </c:pt>
                <c:pt idx="136">
                  <c:v>1273743956.970912</c:v>
                </c:pt>
                <c:pt idx="137">
                  <c:v>1276589931.8770721</c:v>
                </c:pt>
                <c:pt idx="138">
                  <c:v>1268426228.5293081</c:v>
                </c:pt>
                <c:pt idx="139">
                  <c:v>1273395378.0635569</c:v>
                </c:pt>
                <c:pt idx="140">
                  <c:v>1275124218.3698211</c:v>
                </c:pt>
                <c:pt idx="141">
                  <c:v>1275137772.3528931</c:v>
                </c:pt>
                <c:pt idx="142">
                  <c:v>1270226533.4655819</c:v>
                </c:pt>
                <c:pt idx="143">
                  <c:v>1264528256.373225</c:v>
                </c:pt>
                <c:pt idx="144">
                  <c:v>1263453017.8600371</c:v>
                </c:pt>
                <c:pt idx="145">
                  <c:v>1240954288.9011879</c:v>
                </c:pt>
                <c:pt idx="146">
                  <c:v>1256769450.7971261</c:v>
                </c:pt>
                <c:pt idx="147">
                  <c:v>1254753162.0076261</c:v>
                </c:pt>
                <c:pt idx="148">
                  <c:v>1260437137.995353</c:v>
                </c:pt>
                <c:pt idx="149">
                  <c:v>1260676446.6866469</c:v>
                </c:pt>
                <c:pt idx="150">
                  <c:v>1263805686.0324769</c:v>
                </c:pt>
                <c:pt idx="151">
                  <c:v>1262508758.5846939</c:v>
                </c:pt>
                <c:pt idx="152">
                  <c:v>1259300574.151325</c:v>
                </c:pt>
                <c:pt idx="153">
                  <c:v>1260564387.1511209</c:v>
                </c:pt>
                <c:pt idx="154">
                  <c:v>1268211034.726567</c:v>
                </c:pt>
                <c:pt idx="155">
                  <c:v>1273307513.4651189</c:v>
                </c:pt>
                <c:pt idx="156">
                  <c:v>1270453016.5188961</c:v>
                </c:pt>
                <c:pt idx="157">
                  <c:v>1273194451.370199</c:v>
                </c:pt>
                <c:pt idx="158">
                  <c:v>1269783271.920753</c:v>
                </c:pt>
                <c:pt idx="159">
                  <c:v>1270345996.789494</c:v>
                </c:pt>
                <c:pt idx="160">
                  <c:v>1270104954.474036</c:v>
                </c:pt>
                <c:pt idx="161">
                  <c:v>1267876229.2687581</c:v>
                </c:pt>
                <c:pt idx="162">
                  <c:v>1267990240.208524</c:v>
                </c:pt>
                <c:pt idx="163">
                  <c:v>1267423689.0736489</c:v>
                </c:pt>
                <c:pt idx="164">
                  <c:v>1268619872.4260559</c:v>
                </c:pt>
                <c:pt idx="165">
                  <c:v>1268305260.1839719</c:v>
                </c:pt>
                <c:pt idx="166">
                  <c:v>1264816724.754148</c:v>
                </c:pt>
                <c:pt idx="167">
                  <c:v>1267841471.773545</c:v>
                </c:pt>
                <c:pt idx="168">
                  <c:v>1266440915.535732</c:v>
                </c:pt>
                <c:pt idx="169">
                  <c:v>1261982757.2779629</c:v>
                </c:pt>
                <c:pt idx="170">
                  <c:v>1259087369.0840471</c:v>
                </c:pt>
                <c:pt idx="171">
                  <c:v>1257677825.3842871</c:v>
                </c:pt>
                <c:pt idx="172">
                  <c:v>1257300625.590987</c:v>
                </c:pt>
                <c:pt idx="173">
                  <c:v>1256339869.4921551</c:v>
                </c:pt>
                <c:pt idx="174">
                  <c:v>1261123962.164881</c:v>
                </c:pt>
                <c:pt idx="175">
                  <c:v>1262320408.5301189</c:v>
                </c:pt>
                <c:pt idx="176">
                  <c:v>1261959519.3938291</c:v>
                </c:pt>
                <c:pt idx="177">
                  <c:v>1265190093.946008</c:v>
                </c:pt>
                <c:pt idx="178">
                  <c:v>1266688136.955379</c:v>
                </c:pt>
                <c:pt idx="179">
                  <c:v>1271646342.197685</c:v>
                </c:pt>
                <c:pt idx="180">
                  <c:v>1272298760.747046</c:v>
                </c:pt>
                <c:pt idx="181">
                  <c:v>1273607995.9933159</c:v>
                </c:pt>
                <c:pt idx="182">
                  <c:v>1274118096.185864</c:v>
                </c:pt>
                <c:pt idx="183">
                  <c:v>1273252677.517211</c:v>
                </c:pt>
                <c:pt idx="184">
                  <c:v>1273252678</c:v>
                </c:pt>
                <c:pt idx="185">
                  <c:v>1274757982.5478711</c:v>
                </c:pt>
                <c:pt idx="186">
                  <c:v>1267691240.0482659</c:v>
                </c:pt>
                <c:pt idx="187">
                  <c:v>1255241842.761982</c:v>
                </c:pt>
                <c:pt idx="188">
                  <c:v>1261342448.5301211</c:v>
                </c:pt>
                <c:pt idx="189">
                  <c:v>1268448044.7563729</c:v>
                </c:pt>
                <c:pt idx="190">
                  <c:v>1282022189.4519391</c:v>
                </c:pt>
                <c:pt idx="191">
                  <c:v>1271742856.8429251</c:v>
                </c:pt>
                <c:pt idx="192">
                  <c:v>1274159690.8276889</c:v>
                </c:pt>
                <c:pt idx="193">
                  <c:v>1278432354.471827</c:v>
                </c:pt>
                <c:pt idx="194">
                  <c:v>1278179118.1679649</c:v>
                </c:pt>
                <c:pt idx="195">
                  <c:v>1288964022.3258531</c:v>
                </c:pt>
                <c:pt idx="196">
                  <c:v>1289955432.152606</c:v>
                </c:pt>
                <c:pt idx="197">
                  <c:v>1290228174.2318759</c:v>
                </c:pt>
                <c:pt idx="198">
                  <c:v>1272241706.823853</c:v>
                </c:pt>
                <c:pt idx="199">
                  <c:v>1261304590.775784</c:v>
                </c:pt>
                <c:pt idx="200">
                  <c:v>1269438586.414911</c:v>
                </c:pt>
                <c:pt idx="201">
                  <c:v>1262415973.7844379</c:v>
                </c:pt>
                <c:pt idx="202">
                  <c:v>1263110705.2210431</c:v>
                </c:pt>
                <c:pt idx="203">
                  <c:v>1260344522.410959</c:v>
                </c:pt>
                <c:pt idx="204">
                  <c:v>1270932444.968832</c:v>
                </c:pt>
                <c:pt idx="205">
                  <c:v>1265021083.1770661</c:v>
                </c:pt>
                <c:pt idx="206">
                  <c:v>1269351734.0247841</c:v>
                </c:pt>
                <c:pt idx="207">
                  <c:v>1271032189.7130549</c:v>
                </c:pt>
                <c:pt idx="208">
                  <c:v>1265961495.482532</c:v>
                </c:pt>
                <c:pt idx="209">
                  <c:v>1269564900.7947221</c:v>
                </c:pt>
                <c:pt idx="210">
                  <c:v>1276417812.002634</c:v>
                </c:pt>
                <c:pt idx="211">
                  <c:v>1267343733.712549</c:v>
                </c:pt>
                <c:pt idx="212">
                  <c:v>1265947281.9487469</c:v>
                </c:pt>
                <c:pt idx="213">
                  <c:v>1263207290.3414409</c:v>
                </c:pt>
                <c:pt idx="214">
                  <c:v>1263535512.0514891</c:v>
                </c:pt>
                <c:pt idx="215">
                  <c:v>1261436685.5546131</c:v>
                </c:pt>
                <c:pt idx="216">
                  <c:v>1261515616.4419069</c:v>
                </c:pt>
                <c:pt idx="217">
                  <c:v>1259531591.6338871</c:v>
                </c:pt>
                <c:pt idx="218">
                  <c:v>1258958928.394398</c:v>
                </c:pt>
                <c:pt idx="219">
                  <c:v>1259492997.425688</c:v>
                </c:pt>
                <c:pt idx="220">
                  <c:v>1259744745.5549171</c:v>
                </c:pt>
                <c:pt idx="221">
                  <c:v>1261831630.437958</c:v>
                </c:pt>
                <c:pt idx="222">
                  <c:v>1262566349.5334599</c:v>
                </c:pt>
                <c:pt idx="223">
                  <c:v>1268865452.4217939</c:v>
                </c:pt>
                <c:pt idx="224">
                  <c:v>1267636824.23176</c:v>
                </c:pt>
                <c:pt idx="225">
                  <c:v>1267159253.3270111</c:v>
                </c:pt>
                <c:pt idx="226">
                  <c:v>1276217282.5508411</c:v>
                </c:pt>
                <c:pt idx="227">
                  <c:v>1287384354.4951479</c:v>
                </c:pt>
                <c:pt idx="228">
                  <c:v>1287065318.904397</c:v>
                </c:pt>
                <c:pt idx="229">
                  <c:v>1286714898.153897</c:v>
                </c:pt>
                <c:pt idx="230">
                  <c:v>1283252026.664057</c:v>
                </c:pt>
                <c:pt idx="231">
                  <c:v>1296476857.588815</c:v>
                </c:pt>
                <c:pt idx="232">
                  <c:v>1293643110.4906321</c:v>
                </c:pt>
                <c:pt idx="233">
                  <c:v>1289913043.135957</c:v>
                </c:pt>
                <c:pt idx="234">
                  <c:v>1285459295.112818</c:v>
                </c:pt>
                <c:pt idx="235">
                  <c:v>1287796315.0925441</c:v>
                </c:pt>
                <c:pt idx="236">
                  <c:v>1286208092.8202929</c:v>
                </c:pt>
                <c:pt idx="237">
                  <c:v>1286726008.8793049</c:v>
                </c:pt>
                <c:pt idx="238">
                  <c:v>1288521926.7452271</c:v>
                </c:pt>
                <c:pt idx="239">
                  <c:v>1289968378.8981781</c:v>
                </c:pt>
                <c:pt idx="240">
                  <c:v>1287148344.081455</c:v>
                </c:pt>
                <c:pt idx="241">
                  <c:v>1284804115.901572</c:v>
                </c:pt>
                <c:pt idx="242">
                  <c:v>1287510222.9829581</c:v>
                </c:pt>
                <c:pt idx="243">
                  <c:v>1289776969.3738329</c:v>
                </c:pt>
                <c:pt idx="244">
                  <c:v>1291633110.9648571</c:v>
                </c:pt>
                <c:pt idx="245">
                  <c:v>1294896523.2089109</c:v>
                </c:pt>
                <c:pt idx="246">
                  <c:v>1295680876.8058939</c:v>
                </c:pt>
                <c:pt idx="247">
                  <c:v>1294595894.177983</c:v>
                </c:pt>
                <c:pt idx="248">
                  <c:v>1293071902.4465079</c:v>
                </c:pt>
                <c:pt idx="249">
                  <c:v>1293447239.9388571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EF-4CC2-ABA1-E984CD896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36879"/>
        <c:axId val="1550887375"/>
      </c:lineChart>
      <c:dateAx>
        <c:axId val="154973687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887375"/>
        <c:crosses val="autoZero"/>
        <c:auto val="1"/>
        <c:lblOffset val="100"/>
        <c:baseTimeUnit val="days"/>
      </c:dateAx>
      <c:valAx>
        <c:axId val="1550887375"/>
        <c:scaling>
          <c:orientation val="minMax"/>
          <c:min val="95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36879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3863215257308917E-2"/>
                <c:y val="0.1790064158307979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320841</xdr:colOff>
      <xdr:row>2</xdr:row>
      <xdr:rowOff>20052</xdr:rowOff>
    </xdr:from>
    <xdr:to>
      <xdr:col>13</xdr:col>
      <xdr:colOff>100263</xdr:colOff>
      <xdr:row>17</xdr:row>
      <xdr:rowOff>1002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FB9272-0167-4A7E-A6A7-5F76AF853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G5" sqref="G5"/>
    </sheetView>
  </sheetViews>
  <sheetFormatPr defaultRowHeight="14.5" x14ac:dyDescent="0.35"/>
  <cols>
    <col min="1" max="5" width="19.6328125" customWidth="1"/>
  </cols>
  <sheetData>
    <row r="1" spans="1:7" x14ac:dyDescent="0.35">
      <c r="A1" s="1" t="s">
        <v>0</v>
      </c>
      <c r="B1" s="8" t="s">
        <v>23</v>
      </c>
      <c r="C1" s="8" t="s">
        <v>45</v>
      </c>
      <c r="D1" s="1" t="s">
        <v>46</v>
      </c>
      <c r="E1" s="1" t="s">
        <v>50</v>
      </c>
    </row>
    <row r="2" spans="1:7" x14ac:dyDescent="0.35">
      <c r="A2" s="9" t="s">
        <v>1</v>
      </c>
      <c r="B2" s="10">
        <v>1000000000</v>
      </c>
      <c r="C2" s="10">
        <v>1078143206</v>
      </c>
      <c r="D2" s="10">
        <v>1227656184</v>
      </c>
      <c r="E2" s="10">
        <v>1273252677.517211</v>
      </c>
    </row>
    <row r="3" spans="1:7" x14ac:dyDescent="0.35">
      <c r="A3" s="9" t="s">
        <v>2</v>
      </c>
      <c r="B3" s="10">
        <v>1078143206.2487111</v>
      </c>
      <c r="C3" s="10">
        <v>1227656184.268785</v>
      </c>
      <c r="D3" s="10">
        <v>1273252677.517211</v>
      </c>
      <c r="E3" s="10">
        <v>1293447240</v>
      </c>
    </row>
    <row r="4" spans="1:7" x14ac:dyDescent="0.35">
      <c r="A4" s="9" t="s">
        <v>3</v>
      </c>
      <c r="B4" s="10">
        <v>78143206.248711109</v>
      </c>
      <c r="C4" s="10">
        <v>149512978.26878551</v>
      </c>
      <c r="D4" s="10">
        <v>45596493.517211199</v>
      </c>
      <c r="E4" s="10">
        <v>20194562</v>
      </c>
      <c r="G4">
        <f>(E3-B2)/B2</f>
        <v>0.29344724</v>
      </c>
    </row>
    <row r="5" spans="1:7" x14ac:dyDescent="0.35">
      <c r="A5" s="9" t="s">
        <v>21</v>
      </c>
      <c r="B5" s="16">
        <v>7.81432062487111E-2</v>
      </c>
      <c r="C5" s="16">
        <v>0.13867636269164199</v>
      </c>
      <c r="D5" s="16">
        <v>3.7141093826975898E-2</v>
      </c>
      <c r="E5" s="16">
        <v>1.5860608257724701E-2</v>
      </c>
    </row>
    <row r="6" spans="1:7" x14ac:dyDescent="0.35">
      <c r="A6" s="9" t="s">
        <v>4</v>
      </c>
      <c r="B6" s="16">
        <v>-1.47834718140968E-2</v>
      </c>
      <c r="C6" s="16">
        <v>-3.25557037223628E-2</v>
      </c>
      <c r="D6" s="16">
        <v>-5.9416513364489498E-2</v>
      </c>
      <c r="E6" s="16">
        <v>-2.4235438709199201E-2</v>
      </c>
    </row>
    <row r="7" spans="1:7" x14ac:dyDescent="0.35">
      <c r="A7" s="9" t="s">
        <v>5</v>
      </c>
      <c r="B7" s="16">
        <v>-6.12513264249587E-3</v>
      </c>
      <c r="C7" s="16">
        <v>-2.2113813617220199E-16</v>
      </c>
      <c r="D7" s="16">
        <v>0</v>
      </c>
      <c r="E7" s="16">
        <v>-1.41455310082744E-2</v>
      </c>
    </row>
    <row r="8" spans="1:7" x14ac:dyDescent="0.35">
      <c r="A8" s="9" t="s">
        <v>106</v>
      </c>
      <c r="B8" s="16">
        <v>0.72727272727272696</v>
      </c>
      <c r="C8" s="16">
        <v>0.91666666666666696</v>
      </c>
      <c r="D8" s="16">
        <v>0.5625</v>
      </c>
      <c r="E8" s="16">
        <v>0.53333333333333299</v>
      </c>
    </row>
    <row r="9" spans="1:7" x14ac:dyDescent="0.35">
      <c r="A9" s="9" t="s">
        <v>107</v>
      </c>
      <c r="B9" s="16">
        <f>COUNTIF(Trades_Log!H3:H13,"Take Profit")/ROWS(Trades_Log!A3:A13)</f>
        <v>0.27272727272727271</v>
      </c>
      <c r="C9" s="16">
        <f>COUNTIF(Trades_Log!H15:H26,"Take Profit")/ROWS(Trades_Log!H15:H26)</f>
        <v>0.5</v>
      </c>
      <c r="D9" s="16">
        <f>COUNTIF(Trades_Log!H28:H43,"Take Profit")/ROWS(Trades_Log!H28:H43)</f>
        <v>0.375</v>
      </c>
      <c r="E9" s="16">
        <f>COUNTIF(Trades_Log!H45:H59,"Take Profit")/ROWS(Trades_Log!H45:H59)</f>
        <v>0.26666666666666666</v>
      </c>
    </row>
    <row r="10" spans="1:7" x14ac:dyDescent="0.35">
      <c r="A10" s="9" t="s">
        <v>108</v>
      </c>
      <c r="B10" s="16">
        <f>COUNTIF(Trades_Log!H3:H13,"Stop Loss")/ROWS(Trades_Log!A3:A13)</f>
        <v>0.27272727272727271</v>
      </c>
      <c r="C10" s="16">
        <f>COUNTIF(Trades_Log!H15:H26,"Stop Loss")/ROWS(Trades_Log!H15:H26)</f>
        <v>8.3333333333333329E-2</v>
      </c>
      <c r="D10" s="16">
        <f>COUNTIF(Trades_Log!H28:H43,"Stop Loss")/ROWS(Trades_Log!H28:H43)</f>
        <v>0.3125</v>
      </c>
      <c r="E10" s="16">
        <f>COUNTIF(Trades_Log!H45:H59,"Stop Loss")/ROWS(Trades_Log!H45:H59)</f>
        <v>0.33333333333333331</v>
      </c>
      <c r="F10" t="s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1"/>
  <sheetViews>
    <sheetView zoomScale="95" zoomScaleNormal="95" workbookViewId="0">
      <selection activeCell="P6" sqref="P6"/>
    </sheetView>
  </sheetViews>
  <sheetFormatPr defaultRowHeight="14.5" x14ac:dyDescent="0.35"/>
  <cols>
    <col min="1" max="2" width="20.453125" customWidth="1"/>
    <col min="3" max="3" width="9" customWidth="1"/>
  </cols>
  <sheetData>
    <row r="1" spans="1:2" x14ac:dyDescent="0.35">
      <c r="A1" s="2" t="s">
        <v>6</v>
      </c>
      <c r="B1" s="5" t="s">
        <v>7</v>
      </c>
    </row>
    <row r="2" spans="1:2" x14ac:dyDescent="0.35">
      <c r="A2" s="3">
        <v>45293</v>
      </c>
      <c r="B2" s="4">
        <v>1000000000</v>
      </c>
    </row>
    <row r="3" spans="1:2" x14ac:dyDescent="0.35">
      <c r="A3" s="3">
        <v>45294</v>
      </c>
      <c r="B3" s="4">
        <v>1007320893.346239</v>
      </c>
    </row>
    <row r="4" spans="1:2" x14ac:dyDescent="0.35">
      <c r="A4" s="3">
        <v>45295</v>
      </c>
      <c r="B4" s="4">
        <v>1000262162.537738</v>
      </c>
    </row>
    <row r="5" spans="1:2" x14ac:dyDescent="0.35">
      <c r="A5" s="3">
        <v>45296</v>
      </c>
      <c r="B5" s="4">
        <v>998447205.08150792</v>
      </c>
    </row>
    <row r="6" spans="1:2" x14ac:dyDescent="0.35">
      <c r="A6" s="3">
        <v>45299</v>
      </c>
      <c r="B6" s="4">
        <v>993874867.35750413</v>
      </c>
    </row>
    <row r="7" spans="1:2" x14ac:dyDescent="0.35">
      <c r="A7" s="3">
        <v>45300</v>
      </c>
      <c r="B7" s="4">
        <v>1000673012.792282</v>
      </c>
    </row>
    <row r="8" spans="1:2" x14ac:dyDescent="0.35">
      <c r="A8" s="3">
        <v>45301</v>
      </c>
      <c r="B8" s="4">
        <v>995733815.89417744</v>
      </c>
    </row>
    <row r="9" spans="1:2" x14ac:dyDescent="0.35">
      <c r="A9" s="3">
        <v>45302</v>
      </c>
      <c r="B9" s="4">
        <v>1005106006.0281169</v>
      </c>
    </row>
    <row r="10" spans="1:2" x14ac:dyDescent="0.35">
      <c r="A10" s="3">
        <v>45303</v>
      </c>
      <c r="B10" s="4">
        <v>997661828.11488485</v>
      </c>
    </row>
    <row r="11" spans="1:2" x14ac:dyDescent="0.35">
      <c r="A11" s="3">
        <v>45306</v>
      </c>
      <c r="B11" s="4">
        <v>997828745.4959892</v>
      </c>
    </row>
    <row r="12" spans="1:2" x14ac:dyDescent="0.35">
      <c r="A12" s="3">
        <v>45307</v>
      </c>
      <c r="B12" s="4">
        <v>1004624111.9748321</v>
      </c>
    </row>
    <row r="13" spans="1:2" x14ac:dyDescent="0.35">
      <c r="A13" s="3">
        <v>45308</v>
      </c>
      <c r="B13" s="4">
        <v>999068670.78524435</v>
      </c>
    </row>
    <row r="14" spans="1:2" x14ac:dyDescent="0.35">
      <c r="A14" s="3">
        <v>45309</v>
      </c>
      <c r="B14" s="4">
        <v>1000673951.930179</v>
      </c>
    </row>
    <row r="15" spans="1:2" x14ac:dyDescent="0.35">
      <c r="A15" s="3">
        <v>45310</v>
      </c>
      <c r="B15" s="4">
        <v>1004905849.0516649</v>
      </c>
    </row>
    <row r="16" spans="1:2" x14ac:dyDescent="0.35">
      <c r="A16" s="3">
        <v>45313</v>
      </c>
      <c r="B16" s="4">
        <v>1016442187.256595</v>
      </c>
    </row>
    <row r="17" spans="1:2" x14ac:dyDescent="0.35">
      <c r="A17" s="3">
        <v>45314</v>
      </c>
      <c r="B17" s="4">
        <v>1021411340.250104</v>
      </c>
    </row>
    <row r="18" spans="1:2" x14ac:dyDescent="0.35">
      <c r="A18" s="3">
        <v>45315</v>
      </c>
      <c r="B18" s="4">
        <v>1017742252.789431</v>
      </c>
    </row>
    <row r="19" spans="1:2" x14ac:dyDescent="0.35">
      <c r="A19" s="3">
        <v>45316</v>
      </c>
      <c r="B19" s="4">
        <v>1019234609.234949</v>
      </c>
    </row>
    <row r="20" spans="1:2" x14ac:dyDescent="0.35">
      <c r="A20" s="3">
        <v>45317</v>
      </c>
      <c r="B20" s="4">
        <v>1022704059.9319789</v>
      </c>
    </row>
    <row r="21" spans="1:2" x14ac:dyDescent="0.35">
      <c r="A21" s="3">
        <v>45320</v>
      </c>
      <c r="B21" s="4">
        <v>1030261576.149308</v>
      </c>
    </row>
    <row r="22" spans="1:2" x14ac:dyDescent="0.35">
      <c r="A22" s="3">
        <v>45321</v>
      </c>
      <c r="B22" s="4">
        <v>1037906241.981962</v>
      </c>
    </row>
    <row r="23" spans="1:2" x14ac:dyDescent="0.35">
      <c r="A23" s="3">
        <v>45322</v>
      </c>
      <c r="B23" s="4">
        <v>1029307979.221876</v>
      </c>
    </row>
    <row r="24" spans="1:2" x14ac:dyDescent="0.35">
      <c r="A24" s="3">
        <v>45323</v>
      </c>
      <c r="B24" s="4">
        <v>1044236582.926527</v>
      </c>
    </row>
    <row r="25" spans="1:2" x14ac:dyDescent="0.35">
      <c r="A25" s="3">
        <v>45324</v>
      </c>
      <c r="B25" s="4">
        <v>1041132422.021588</v>
      </c>
    </row>
    <row r="26" spans="1:2" x14ac:dyDescent="0.35">
      <c r="A26" s="3">
        <v>45327</v>
      </c>
      <c r="B26" s="4">
        <v>1039788232.608654</v>
      </c>
    </row>
    <row r="27" spans="1:2" x14ac:dyDescent="0.35">
      <c r="A27" s="3">
        <v>45328</v>
      </c>
      <c r="B27" s="4">
        <v>1042353069.299081</v>
      </c>
    </row>
    <row r="28" spans="1:2" x14ac:dyDescent="0.35">
      <c r="A28" s="3">
        <v>45329</v>
      </c>
      <c r="B28" s="4">
        <v>1044784651.926103</v>
      </c>
    </row>
    <row r="29" spans="1:2" x14ac:dyDescent="0.35">
      <c r="A29" s="3">
        <v>45337</v>
      </c>
      <c r="B29" s="4">
        <v>1045415602.9878139</v>
      </c>
    </row>
    <row r="30" spans="1:2" x14ac:dyDescent="0.35">
      <c r="A30" s="3">
        <v>45338</v>
      </c>
      <c r="B30" s="4">
        <v>1037329458.649773</v>
      </c>
    </row>
    <row r="31" spans="1:2" x14ac:dyDescent="0.35">
      <c r="A31" s="3">
        <v>45341</v>
      </c>
      <c r="B31" s="4">
        <v>1039126876.079043</v>
      </c>
    </row>
    <row r="32" spans="1:2" x14ac:dyDescent="0.35">
      <c r="A32" s="3">
        <v>45342</v>
      </c>
      <c r="B32" s="4">
        <v>1037485767.164456</v>
      </c>
    </row>
    <row r="33" spans="1:2" x14ac:dyDescent="0.35">
      <c r="A33" s="3">
        <v>45343</v>
      </c>
      <c r="B33" s="4">
        <v>1043952390.742936</v>
      </c>
    </row>
    <row r="34" spans="1:2" x14ac:dyDescent="0.35">
      <c r="A34" s="3">
        <v>45344</v>
      </c>
      <c r="B34" s="4">
        <v>1046659020.8322279</v>
      </c>
    </row>
    <row r="35" spans="1:2" x14ac:dyDescent="0.35">
      <c r="A35" s="3">
        <v>45345</v>
      </c>
      <c r="B35" s="4">
        <v>1047300120.378279</v>
      </c>
    </row>
    <row r="36" spans="1:2" x14ac:dyDescent="0.35">
      <c r="A36" s="3">
        <v>45348</v>
      </c>
      <c r="B36" s="4">
        <v>1052106045.393186</v>
      </c>
    </row>
    <row r="37" spans="1:2" x14ac:dyDescent="0.35">
      <c r="A37" s="3">
        <v>45349</v>
      </c>
      <c r="B37" s="4">
        <v>1058236942.3657351</v>
      </c>
    </row>
    <row r="38" spans="1:2" x14ac:dyDescent="0.35">
      <c r="A38" s="3">
        <v>45350</v>
      </c>
      <c r="B38" s="4">
        <v>1066364408.0087169</v>
      </c>
    </row>
    <row r="39" spans="1:2" x14ac:dyDescent="0.35">
      <c r="A39" s="3">
        <v>45351</v>
      </c>
      <c r="B39" s="4">
        <v>1065199728.689387</v>
      </c>
    </row>
    <row r="40" spans="1:2" x14ac:dyDescent="0.35">
      <c r="A40" s="3">
        <v>45352</v>
      </c>
      <c r="B40" s="4">
        <v>1067750965.74141</v>
      </c>
    </row>
    <row r="41" spans="1:2" x14ac:dyDescent="0.35">
      <c r="A41" s="3">
        <v>45355</v>
      </c>
      <c r="B41" s="4">
        <v>1064386249.4666229</v>
      </c>
    </row>
    <row r="42" spans="1:2" x14ac:dyDescent="0.35">
      <c r="A42" s="3">
        <v>45356</v>
      </c>
      <c r="B42" s="4">
        <v>1064465329.703305</v>
      </c>
    </row>
    <row r="43" spans="1:2" x14ac:dyDescent="0.35">
      <c r="A43" s="3">
        <v>45357</v>
      </c>
      <c r="B43" s="4">
        <v>1061135774.1352659</v>
      </c>
    </row>
    <row r="44" spans="1:2" x14ac:dyDescent="0.35">
      <c r="A44" s="3">
        <v>45358</v>
      </c>
      <c r="B44" s="4">
        <v>1066914116.424569</v>
      </c>
    </row>
    <row r="45" spans="1:2" x14ac:dyDescent="0.35">
      <c r="A45" s="3">
        <v>45359</v>
      </c>
      <c r="B45" s="4">
        <v>1064981239.826208</v>
      </c>
    </row>
    <row r="46" spans="1:2" x14ac:dyDescent="0.35">
      <c r="A46" s="3">
        <v>45362</v>
      </c>
      <c r="B46" s="4">
        <v>1072458586.28334</v>
      </c>
    </row>
    <row r="47" spans="1:2" x14ac:dyDescent="0.35">
      <c r="A47" s="3">
        <v>45363</v>
      </c>
      <c r="B47" s="4">
        <v>1082349024.3631699</v>
      </c>
    </row>
    <row r="48" spans="1:2" x14ac:dyDescent="0.35">
      <c r="A48" s="3">
        <v>45364</v>
      </c>
      <c r="B48" s="4">
        <v>1087246918.131058</v>
      </c>
    </row>
    <row r="49" spans="1:2" x14ac:dyDescent="0.35">
      <c r="A49" s="3">
        <v>45365</v>
      </c>
      <c r="B49" s="4">
        <v>1080311806.953373</v>
      </c>
    </row>
    <row r="50" spans="1:2" x14ac:dyDescent="0.35">
      <c r="A50" s="3">
        <v>45366</v>
      </c>
      <c r="B50" s="4">
        <v>1082874146.864954</v>
      </c>
    </row>
    <row r="51" spans="1:2" x14ac:dyDescent="0.35">
      <c r="A51" s="3">
        <v>45369</v>
      </c>
      <c r="B51" s="4">
        <v>1076302760.6594269</v>
      </c>
    </row>
    <row r="52" spans="1:2" x14ac:dyDescent="0.35">
      <c r="A52" s="3">
        <v>45370</v>
      </c>
      <c r="B52" s="4">
        <v>1077812226.3248601</v>
      </c>
    </row>
    <row r="53" spans="1:2" x14ac:dyDescent="0.35">
      <c r="A53" s="3">
        <v>45371</v>
      </c>
      <c r="B53" s="4">
        <v>1077444204.636091</v>
      </c>
    </row>
    <row r="54" spans="1:2" x14ac:dyDescent="0.35">
      <c r="A54" s="3">
        <v>45372</v>
      </c>
      <c r="B54" s="4">
        <v>1078266001.1416049</v>
      </c>
    </row>
    <row r="55" spans="1:2" x14ac:dyDescent="0.35">
      <c r="A55" s="3">
        <v>45373</v>
      </c>
      <c r="B55" s="4">
        <v>1078605764.743135</v>
      </c>
    </row>
    <row r="56" spans="1:2" x14ac:dyDescent="0.35">
      <c r="A56" s="3">
        <v>45376</v>
      </c>
      <c r="B56" s="4">
        <v>1071173633.961904</v>
      </c>
    </row>
    <row r="57" spans="1:2" x14ac:dyDescent="0.35">
      <c r="A57" s="3">
        <v>45377</v>
      </c>
      <c r="B57" s="4">
        <v>1072097992.271952</v>
      </c>
    </row>
    <row r="58" spans="1:2" x14ac:dyDescent="0.35">
      <c r="A58" s="3">
        <v>45378</v>
      </c>
      <c r="B58" s="4">
        <v>1077768748.8753171</v>
      </c>
    </row>
    <row r="59" spans="1:2" x14ac:dyDescent="0.35">
      <c r="A59" s="3">
        <v>45379</v>
      </c>
      <c r="B59" s="4">
        <v>1077649851.6021969</v>
      </c>
    </row>
    <row r="60" spans="1:2" x14ac:dyDescent="0.35">
      <c r="A60" s="3">
        <v>45380</v>
      </c>
      <c r="B60" s="4">
        <v>1078143206.2487111</v>
      </c>
    </row>
    <row r="61" spans="1:2" x14ac:dyDescent="0.35">
      <c r="A61" s="3">
        <v>45383</v>
      </c>
      <c r="B61" s="4">
        <v>1078143206</v>
      </c>
    </row>
    <row r="62" spans="1:2" x14ac:dyDescent="0.35">
      <c r="A62" s="3">
        <v>45384</v>
      </c>
      <c r="B62" s="4">
        <v>1096420247.296756</v>
      </c>
    </row>
    <row r="63" spans="1:2" x14ac:dyDescent="0.35">
      <c r="A63" s="3">
        <v>45385</v>
      </c>
      <c r="B63" s="4">
        <v>1103920511.6607749</v>
      </c>
    </row>
    <row r="64" spans="1:2" x14ac:dyDescent="0.35">
      <c r="A64" s="3">
        <v>45386</v>
      </c>
      <c r="B64" s="4">
        <v>1109849358.979039</v>
      </c>
    </row>
    <row r="65" spans="1:2" x14ac:dyDescent="0.35">
      <c r="A65" s="3">
        <v>45387</v>
      </c>
      <c r="B65" s="4">
        <v>1114635149.5924649</v>
      </c>
    </row>
    <row r="66" spans="1:2" x14ac:dyDescent="0.35">
      <c r="A66" s="3">
        <v>45390</v>
      </c>
      <c r="B66" s="4">
        <v>1102689588.8022771</v>
      </c>
    </row>
    <row r="67" spans="1:2" x14ac:dyDescent="0.35">
      <c r="A67" s="3">
        <v>45391</v>
      </c>
      <c r="B67" s="4">
        <v>1105339918.314275</v>
      </c>
    </row>
    <row r="68" spans="1:2" x14ac:dyDescent="0.35">
      <c r="A68" s="3">
        <v>45392</v>
      </c>
      <c r="B68" s="4">
        <v>1099612367.107285</v>
      </c>
    </row>
    <row r="69" spans="1:2" x14ac:dyDescent="0.35">
      <c r="A69" s="3">
        <v>45393</v>
      </c>
      <c r="B69" s="4">
        <v>1106419285.2868509</v>
      </c>
    </row>
    <row r="70" spans="1:2" x14ac:dyDescent="0.35">
      <c r="A70" s="3">
        <v>45394</v>
      </c>
      <c r="B70" s="4">
        <v>1116212563.334177</v>
      </c>
    </row>
    <row r="71" spans="1:2" x14ac:dyDescent="0.35">
      <c r="A71" s="3">
        <v>45397</v>
      </c>
      <c r="B71" s="4">
        <v>1083589553.2562239</v>
      </c>
    </row>
    <row r="72" spans="1:2" x14ac:dyDescent="0.35">
      <c r="A72" s="3">
        <v>45398</v>
      </c>
      <c r="B72" s="4">
        <v>1100976377.2365489</v>
      </c>
    </row>
    <row r="73" spans="1:2" x14ac:dyDescent="0.35">
      <c r="A73" s="3">
        <v>45399</v>
      </c>
      <c r="B73" s="4">
        <v>1087645593.0639639</v>
      </c>
    </row>
    <row r="74" spans="1:2" x14ac:dyDescent="0.35">
      <c r="A74" s="3">
        <v>45401</v>
      </c>
      <c r="B74" s="4">
        <v>1079873477.83109</v>
      </c>
    </row>
    <row r="75" spans="1:2" x14ac:dyDescent="0.35">
      <c r="A75" s="3">
        <v>45404</v>
      </c>
      <c r="B75" s="4">
        <v>1094862683.7921641</v>
      </c>
    </row>
    <row r="76" spans="1:2" x14ac:dyDescent="0.35">
      <c r="A76" s="3">
        <v>45405</v>
      </c>
      <c r="B76" s="4">
        <v>1103069652.9173501</v>
      </c>
    </row>
    <row r="77" spans="1:2" x14ac:dyDescent="0.35">
      <c r="A77" s="3">
        <v>45406</v>
      </c>
      <c r="B77" s="4">
        <v>1100698929.971431</v>
      </c>
    </row>
    <row r="78" spans="1:2" x14ac:dyDescent="0.35">
      <c r="A78" s="3">
        <v>45407</v>
      </c>
      <c r="B78" s="4">
        <v>1103801637.6073611</v>
      </c>
    </row>
    <row r="79" spans="1:2" x14ac:dyDescent="0.35">
      <c r="A79" s="3">
        <v>45408</v>
      </c>
      <c r="B79" s="4">
        <v>1107620552.1588509</v>
      </c>
    </row>
    <row r="80" spans="1:2" x14ac:dyDescent="0.35">
      <c r="A80" s="3">
        <v>45414</v>
      </c>
      <c r="B80" s="4">
        <v>1120512560.1412301</v>
      </c>
    </row>
    <row r="81" spans="1:2" x14ac:dyDescent="0.35">
      <c r="A81" s="3">
        <v>45415</v>
      </c>
      <c r="B81" s="4">
        <v>1129436502.7052879</v>
      </c>
    </row>
    <row r="82" spans="1:2" x14ac:dyDescent="0.35">
      <c r="A82" s="3">
        <v>45418</v>
      </c>
      <c r="B82" s="4">
        <v>1146278452.223784</v>
      </c>
    </row>
    <row r="83" spans="1:2" x14ac:dyDescent="0.35">
      <c r="A83" s="3">
        <v>45419</v>
      </c>
      <c r="B83" s="4">
        <v>1144607204.2022531</v>
      </c>
    </row>
    <row r="84" spans="1:2" x14ac:dyDescent="0.35">
      <c r="A84" s="3">
        <v>45420</v>
      </c>
      <c r="B84" s="4">
        <v>1154707287.5503261</v>
      </c>
    </row>
    <row r="85" spans="1:2" x14ac:dyDescent="0.35">
      <c r="A85" s="3">
        <v>45421</v>
      </c>
      <c r="B85" s="4">
        <v>1155399446.972507</v>
      </c>
    </row>
    <row r="86" spans="1:2" x14ac:dyDescent="0.35">
      <c r="A86" s="3">
        <v>45422</v>
      </c>
      <c r="B86" s="4">
        <v>1163253753.716296</v>
      </c>
    </row>
    <row r="87" spans="1:2" x14ac:dyDescent="0.35">
      <c r="A87" s="3">
        <v>45425</v>
      </c>
      <c r="B87" s="4">
        <v>1169733469.6247649</v>
      </c>
    </row>
    <row r="88" spans="1:2" x14ac:dyDescent="0.35">
      <c r="A88" s="3">
        <v>45426</v>
      </c>
      <c r="B88" s="4">
        <v>1171590220.9093051</v>
      </c>
    </row>
    <row r="89" spans="1:2" x14ac:dyDescent="0.35">
      <c r="A89" s="3">
        <v>45427</v>
      </c>
      <c r="B89" s="4">
        <v>1182400514.4571109</v>
      </c>
    </row>
    <row r="90" spans="1:2" x14ac:dyDescent="0.35">
      <c r="A90" s="3">
        <v>45428</v>
      </c>
      <c r="B90" s="4">
        <v>1193205531.399292</v>
      </c>
    </row>
    <row r="91" spans="1:2" x14ac:dyDescent="0.35">
      <c r="A91" s="3">
        <v>45429</v>
      </c>
      <c r="B91" s="4">
        <v>1205111291.5952761</v>
      </c>
    </row>
    <row r="92" spans="1:2" x14ac:dyDescent="0.35">
      <c r="A92" s="3">
        <v>45432</v>
      </c>
      <c r="B92" s="4">
        <v>1210434210.076308</v>
      </c>
    </row>
    <row r="93" spans="1:2" x14ac:dyDescent="0.35">
      <c r="A93" s="3">
        <v>45433</v>
      </c>
      <c r="B93" s="4">
        <v>1209682374.639354</v>
      </c>
    </row>
    <row r="94" spans="1:2" x14ac:dyDescent="0.35">
      <c r="A94" s="3">
        <v>45434</v>
      </c>
      <c r="B94" s="4">
        <v>1205955326.968744</v>
      </c>
    </row>
    <row r="95" spans="1:2" x14ac:dyDescent="0.35">
      <c r="A95" s="3">
        <v>45435</v>
      </c>
      <c r="B95" s="4">
        <v>1209248365.1818149</v>
      </c>
    </row>
    <row r="96" spans="1:2" x14ac:dyDescent="0.35">
      <c r="A96" s="3">
        <v>45436</v>
      </c>
      <c r="B96" s="4">
        <v>1202687536.72083</v>
      </c>
    </row>
    <row r="97" spans="1:2" x14ac:dyDescent="0.35">
      <c r="A97" s="3">
        <v>45439</v>
      </c>
      <c r="B97" s="4">
        <v>1210448548.959821</v>
      </c>
    </row>
    <row r="98" spans="1:2" x14ac:dyDescent="0.35">
      <c r="A98" s="3">
        <v>45440</v>
      </c>
      <c r="B98" s="4">
        <v>1218099235.5628409</v>
      </c>
    </row>
    <row r="99" spans="1:2" x14ac:dyDescent="0.35">
      <c r="A99" s="3">
        <v>45441</v>
      </c>
      <c r="B99" s="4">
        <v>1217438831.038779</v>
      </c>
    </row>
    <row r="100" spans="1:2" x14ac:dyDescent="0.35">
      <c r="A100" s="3">
        <v>45442</v>
      </c>
      <c r="B100" s="4">
        <v>1219208668.244406</v>
      </c>
    </row>
    <row r="101" spans="1:2" x14ac:dyDescent="0.35">
      <c r="A101" s="3">
        <v>45443</v>
      </c>
      <c r="B101" s="4">
        <v>1225476352.2521601</v>
      </c>
    </row>
    <row r="102" spans="1:2" x14ac:dyDescent="0.35">
      <c r="A102" s="3">
        <v>45446</v>
      </c>
      <c r="B102" s="4">
        <v>1224687819.823631</v>
      </c>
    </row>
    <row r="103" spans="1:2" x14ac:dyDescent="0.35">
      <c r="A103" s="3">
        <v>45447</v>
      </c>
      <c r="B103" s="4">
        <v>1227073364.0681069</v>
      </c>
    </row>
    <row r="104" spans="1:2" x14ac:dyDescent="0.35">
      <c r="A104" s="3">
        <v>45448</v>
      </c>
      <c r="B104" s="4">
        <v>1227768183.7029569</v>
      </c>
    </row>
    <row r="105" spans="1:2" x14ac:dyDescent="0.35">
      <c r="A105" s="3">
        <v>45449</v>
      </c>
      <c r="B105" s="4">
        <v>1228615817.105974</v>
      </c>
    </row>
    <row r="106" spans="1:2" x14ac:dyDescent="0.35">
      <c r="A106" s="3">
        <v>45450</v>
      </c>
      <c r="B106" s="4">
        <v>1230784879.3357551</v>
      </c>
    </row>
    <row r="107" spans="1:2" x14ac:dyDescent="0.35">
      <c r="A107" s="3">
        <v>45453</v>
      </c>
      <c r="B107" s="4">
        <v>1233780788.247514</v>
      </c>
    </row>
    <row r="108" spans="1:2" x14ac:dyDescent="0.35">
      <c r="A108" s="3">
        <v>45454</v>
      </c>
      <c r="B108" s="4">
        <v>1233576857.4803901</v>
      </c>
    </row>
    <row r="109" spans="1:2" x14ac:dyDescent="0.35">
      <c r="A109" s="3">
        <v>45455</v>
      </c>
      <c r="B109" s="4">
        <v>1237025941.9301751</v>
      </c>
    </row>
    <row r="110" spans="1:2" x14ac:dyDescent="0.35">
      <c r="A110" s="3">
        <v>45456</v>
      </c>
      <c r="B110" s="4">
        <v>1236346423.0914221</v>
      </c>
    </row>
    <row r="111" spans="1:2" x14ac:dyDescent="0.35">
      <c r="A111" s="3">
        <v>45457</v>
      </c>
      <c r="B111" s="4">
        <v>1233811523.919158</v>
      </c>
    </row>
    <row r="112" spans="1:2" x14ac:dyDescent="0.35">
      <c r="A112" s="3">
        <v>45460</v>
      </c>
      <c r="B112" s="4">
        <v>1233017715.7843921</v>
      </c>
    </row>
    <row r="113" spans="1:2" x14ac:dyDescent="0.35">
      <c r="A113" s="3">
        <v>45461</v>
      </c>
      <c r="B113" s="4">
        <v>1236188054.0663829</v>
      </c>
    </row>
    <row r="114" spans="1:2" x14ac:dyDescent="0.35">
      <c r="A114" s="3">
        <v>45462</v>
      </c>
      <c r="B114" s="4">
        <v>1234968432.9653821</v>
      </c>
    </row>
    <row r="115" spans="1:2" x14ac:dyDescent="0.35">
      <c r="A115" s="3">
        <v>45463</v>
      </c>
      <c r="B115" s="4">
        <v>1237014484.4218941</v>
      </c>
    </row>
    <row r="116" spans="1:2" x14ac:dyDescent="0.35">
      <c r="A116" s="3">
        <v>45464</v>
      </c>
      <c r="B116" s="4">
        <v>1234517765.488343</v>
      </c>
    </row>
    <row r="117" spans="1:2" x14ac:dyDescent="0.35">
      <c r="A117" s="3">
        <v>45467</v>
      </c>
      <c r="B117" s="4">
        <v>1226512746.2506571</v>
      </c>
    </row>
    <row r="118" spans="1:2" x14ac:dyDescent="0.35">
      <c r="A118" s="3">
        <v>45468</v>
      </c>
      <c r="B118" s="4">
        <v>1223144652.1837399</v>
      </c>
    </row>
    <row r="119" spans="1:2" x14ac:dyDescent="0.35">
      <c r="A119" s="3">
        <v>45469</v>
      </c>
      <c r="B119" s="4">
        <v>1223259062.0172801</v>
      </c>
    </row>
    <row r="120" spans="1:2" x14ac:dyDescent="0.35">
      <c r="A120" s="3">
        <v>45470</v>
      </c>
      <c r="B120" s="4">
        <v>1225794586.3689671</v>
      </c>
    </row>
    <row r="121" spans="1:2" x14ac:dyDescent="0.35">
      <c r="A121" s="3">
        <v>45471</v>
      </c>
      <c r="B121" s="4">
        <v>1227656184.268785</v>
      </c>
    </row>
    <row r="122" spans="1:2" x14ac:dyDescent="0.35">
      <c r="A122" s="3">
        <v>45474</v>
      </c>
      <c r="B122" s="4">
        <v>1227656184</v>
      </c>
    </row>
    <row r="123" spans="1:2" x14ac:dyDescent="0.35">
      <c r="A123" s="3">
        <v>45475</v>
      </c>
      <c r="B123" s="4">
        <v>1229187006.5457151</v>
      </c>
    </row>
    <row r="124" spans="1:2" x14ac:dyDescent="0.35">
      <c r="A124" s="3">
        <v>45476</v>
      </c>
      <c r="B124" s="4">
        <v>1250372482.4237189</v>
      </c>
    </row>
    <row r="125" spans="1:2" x14ac:dyDescent="0.35">
      <c r="A125" s="3">
        <v>45477</v>
      </c>
      <c r="B125" s="4">
        <v>1265682884.7462709</v>
      </c>
    </row>
    <row r="126" spans="1:2" x14ac:dyDescent="0.35">
      <c r="A126" s="3">
        <v>45478</v>
      </c>
      <c r="B126" s="4">
        <v>1279790010.364656</v>
      </c>
    </row>
    <row r="127" spans="1:2" x14ac:dyDescent="0.35">
      <c r="A127" s="3">
        <v>45481</v>
      </c>
      <c r="B127" s="4">
        <v>1294305097.1195891</v>
      </c>
    </row>
    <row r="128" spans="1:2" x14ac:dyDescent="0.35">
      <c r="A128" s="11">
        <v>45482</v>
      </c>
      <c r="B128" s="12">
        <v>1313824605.859859</v>
      </c>
    </row>
    <row r="129" spans="1:2" x14ac:dyDescent="0.35">
      <c r="A129" s="3">
        <v>45483</v>
      </c>
      <c r="B129" s="4">
        <v>1318223944.4784031</v>
      </c>
    </row>
    <row r="130" spans="1:2" x14ac:dyDescent="0.35">
      <c r="A130" s="3">
        <v>45484</v>
      </c>
      <c r="B130" s="4">
        <v>1312361984.792093</v>
      </c>
    </row>
    <row r="131" spans="1:2" x14ac:dyDescent="0.35">
      <c r="A131" s="3">
        <v>45485</v>
      </c>
      <c r="B131" s="4">
        <v>1303119029.873702</v>
      </c>
    </row>
    <row r="132" spans="1:2" x14ac:dyDescent="0.35">
      <c r="A132" s="3">
        <v>45488</v>
      </c>
      <c r="B132" s="4">
        <v>1319345179.38446</v>
      </c>
    </row>
    <row r="133" spans="1:2" x14ac:dyDescent="0.35">
      <c r="A133" s="11">
        <v>45489</v>
      </c>
      <c r="B133" s="12">
        <v>1309596939.6862619</v>
      </c>
    </row>
    <row r="134" spans="1:2" x14ac:dyDescent="0.35">
      <c r="A134" s="3">
        <v>45490</v>
      </c>
      <c r="B134" s="4">
        <v>1298128377.1386509</v>
      </c>
    </row>
    <row r="135" spans="1:2" x14ac:dyDescent="0.35">
      <c r="A135" s="3">
        <v>45491</v>
      </c>
      <c r="B135" s="4">
        <v>1302486180.32535</v>
      </c>
    </row>
    <row r="136" spans="1:2" x14ac:dyDescent="0.35">
      <c r="A136" s="3">
        <v>45492</v>
      </c>
      <c r="B136" s="4">
        <v>1296947085.0887749</v>
      </c>
    </row>
    <row r="137" spans="1:2" x14ac:dyDescent="0.35">
      <c r="A137" s="3">
        <v>45495</v>
      </c>
      <c r="B137" s="4">
        <v>1278333338.595274</v>
      </c>
    </row>
    <row r="138" spans="1:2" x14ac:dyDescent="0.35">
      <c r="A138" s="3">
        <v>45496</v>
      </c>
      <c r="B138" s="4">
        <v>1273743956.970912</v>
      </c>
    </row>
    <row r="139" spans="1:2" x14ac:dyDescent="0.35">
      <c r="A139" s="3">
        <v>45497</v>
      </c>
      <c r="B139" s="4">
        <v>1276589931.8770721</v>
      </c>
    </row>
    <row r="140" spans="1:2" x14ac:dyDescent="0.35">
      <c r="A140" s="3">
        <v>45498</v>
      </c>
      <c r="B140" s="4">
        <v>1268426228.5293081</v>
      </c>
    </row>
    <row r="141" spans="1:2" x14ac:dyDescent="0.35">
      <c r="A141" s="3">
        <v>45499</v>
      </c>
      <c r="B141" s="4">
        <v>1273395378.0635569</v>
      </c>
    </row>
    <row r="142" spans="1:2" x14ac:dyDescent="0.35">
      <c r="A142" s="3">
        <v>45502</v>
      </c>
      <c r="B142" s="4">
        <v>1275124218.3698211</v>
      </c>
    </row>
    <row r="143" spans="1:2" x14ac:dyDescent="0.35">
      <c r="A143" s="3">
        <v>45503</v>
      </c>
      <c r="B143" s="4">
        <v>1275137772.3528931</v>
      </c>
    </row>
    <row r="144" spans="1:2" x14ac:dyDescent="0.35">
      <c r="A144" s="3">
        <v>45504</v>
      </c>
      <c r="B144" s="4">
        <v>1270226533.4655819</v>
      </c>
    </row>
    <row r="145" spans="1:2" x14ac:dyDescent="0.35">
      <c r="A145" s="3">
        <v>45505</v>
      </c>
      <c r="B145" s="4">
        <v>1264528256.373225</v>
      </c>
    </row>
    <row r="146" spans="1:2" x14ac:dyDescent="0.35">
      <c r="A146" s="3">
        <v>45506</v>
      </c>
      <c r="B146" s="4">
        <v>1263453017.8600371</v>
      </c>
    </row>
    <row r="147" spans="1:2" x14ac:dyDescent="0.35">
      <c r="A147" s="3">
        <v>45509</v>
      </c>
      <c r="B147" s="4">
        <v>1240954288.9011879</v>
      </c>
    </row>
    <row r="148" spans="1:2" x14ac:dyDescent="0.35">
      <c r="A148" s="3">
        <v>45510</v>
      </c>
      <c r="B148" s="4">
        <v>1256769450.7971261</v>
      </c>
    </row>
    <row r="149" spans="1:2" x14ac:dyDescent="0.35">
      <c r="A149" s="3">
        <v>45511</v>
      </c>
      <c r="B149" s="4">
        <v>1254753162.0076261</v>
      </c>
    </row>
    <row r="150" spans="1:2" x14ac:dyDescent="0.35">
      <c r="A150" s="3">
        <v>45512</v>
      </c>
      <c r="B150" s="4">
        <v>1260437137.995353</v>
      </c>
    </row>
    <row r="151" spans="1:2" x14ac:dyDescent="0.35">
      <c r="A151" s="3">
        <v>45513</v>
      </c>
      <c r="B151" s="4">
        <v>1260676446.6866469</v>
      </c>
    </row>
    <row r="152" spans="1:2" x14ac:dyDescent="0.35">
      <c r="A152" s="3">
        <v>45516</v>
      </c>
      <c r="B152" s="4">
        <v>1263805686.0324769</v>
      </c>
    </row>
    <row r="153" spans="1:2" x14ac:dyDescent="0.35">
      <c r="A153" s="3">
        <v>45517</v>
      </c>
      <c r="B153" s="4">
        <v>1262508758.5846939</v>
      </c>
    </row>
    <row r="154" spans="1:2" x14ac:dyDescent="0.35">
      <c r="A154" s="3">
        <v>45518</v>
      </c>
      <c r="B154" s="4">
        <v>1259300574.151325</v>
      </c>
    </row>
    <row r="155" spans="1:2" x14ac:dyDescent="0.35">
      <c r="A155" s="3">
        <v>45519</v>
      </c>
      <c r="B155" s="4">
        <v>1260564387.1511209</v>
      </c>
    </row>
    <row r="156" spans="1:2" x14ac:dyDescent="0.35">
      <c r="A156" s="3">
        <v>45520</v>
      </c>
      <c r="B156" s="4">
        <v>1268211034.726567</v>
      </c>
    </row>
    <row r="157" spans="1:2" x14ac:dyDescent="0.35">
      <c r="A157" s="3">
        <v>45523</v>
      </c>
      <c r="B157" s="4">
        <v>1273307513.4651189</v>
      </c>
    </row>
    <row r="158" spans="1:2" x14ac:dyDescent="0.35">
      <c r="A158" s="3">
        <v>45524</v>
      </c>
      <c r="B158" s="4">
        <v>1270453016.5188961</v>
      </c>
    </row>
    <row r="159" spans="1:2" x14ac:dyDescent="0.35">
      <c r="A159" s="3">
        <v>45525</v>
      </c>
      <c r="B159" s="4">
        <v>1273194451.370199</v>
      </c>
    </row>
    <row r="160" spans="1:2" x14ac:dyDescent="0.35">
      <c r="A160" s="3">
        <v>45526</v>
      </c>
      <c r="B160" s="4">
        <v>1269783271.920753</v>
      </c>
    </row>
    <row r="161" spans="1:2" x14ac:dyDescent="0.35">
      <c r="A161" s="3">
        <v>45527</v>
      </c>
      <c r="B161" s="4">
        <v>1270345996.789494</v>
      </c>
    </row>
    <row r="162" spans="1:2" x14ac:dyDescent="0.35">
      <c r="A162" s="3">
        <v>45530</v>
      </c>
      <c r="B162" s="4">
        <v>1270104954.474036</v>
      </c>
    </row>
    <row r="163" spans="1:2" x14ac:dyDescent="0.35">
      <c r="A163" s="3">
        <v>45531</v>
      </c>
      <c r="B163" s="4">
        <v>1267876229.2687581</v>
      </c>
    </row>
    <row r="164" spans="1:2" x14ac:dyDescent="0.35">
      <c r="A164" s="3">
        <v>45532</v>
      </c>
      <c r="B164" s="4">
        <v>1267990240.208524</v>
      </c>
    </row>
    <row r="165" spans="1:2" x14ac:dyDescent="0.35">
      <c r="A165" s="3">
        <v>45533</v>
      </c>
      <c r="B165" s="4">
        <v>1267423689.0736489</v>
      </c>
    </row>
    <row r="166" spans="1:2" x14ac:dyDescent="0.35">
      <c r="A166" s="3">
        <v>45534</v>
      </c>
      <c r="B166" s="4">
        <v>1268619872.4260559</v>
      </c>
    </row>
    <row r="167" spans="1:2" x14ac:dyDescent="0.35">
      <c r="A167" s="3">
        <v>45539</v>
      </c>
      <c r="B167" s="4">
        <v>1268305260.1839719</v>
      </c>
    </row>
    <row r="168" spans="1:2" x14ac:dyDescent="0.35">
      <c r="A168" s="3">
        <v>45540</v>
      </c>
      <c r="B168" s="4">
        <v>1264816724.754148</v>
      </c>
    </row>
    <row r="169" spans="1:2" x14ac:dyDescent="0.35">
      <c r="A169" s="3">
        <v>45541</v>
      </c>
      <c r="B169" s="4">
        <v>1267841471.773545</v>
      </c>
    </row>
    <row r="170" spans="1:2" x14ac:dyDescent="0.35">
      <c r="A170" s="3">
        <v>45544</v>
      </c>
      <c r="B170" s="4">
        <v>1266440915.535732</v>
      </c>
    </row>
    <row r="171" spans="1:2" x14ac:dyDescent="0.35">
      <c r="A171" s="3">
        <v>45545</v>
      </c>
      <c r="B171" s="4">
        <v>1261982757.2779629</v>
      </c>
    </row>
    <row r="172" spans="1:2" x14ac:dyDescent="0.35">
      <c r="A172" s="3">
        <v>45546</v>
      </c>
      <c r="B172" s="4">
        <v>1259087369.0840471</v>
      </c>
    </row>
    <row r="173" spans="1:2" x14ac:dyDescent="0.35">
      <c r="A173" s="3">
        <v>45547</v>
      </c>
      <c r="B173" s="4">
        <v>1257677825.3842871</v>
      </c>
    </row>
    <row r="174" spans="1:2" x14ac:dyDescent="0.35">
      <c r="A174" s="3">
        <v>45548</v>
      </c>
      <c r="B174" s="4">
        <v>1257300625.590987</v>
      </c>
    </row>
    <row r="175" spans="1:2" x14ac:dyDescent="0.35">
      <c r="A175" s="3">
        <v>45551</v>
      </c>
      <c r="B175" s="4">
        <v>1256339869.4921551</v>
      </c>
    </row>
    <row r="176" spans="1:2" x14ac:dyDescent="0.35">
      <c r="A176" s="3">
        <v>45552</v>
      </c>
      <c r="B176" s="4">
        <v>1261123962.164881</v>
      </c>
    </row>
    <row r="177" spans="1:2" x14ac:dyDescent="0.35">
      <c r="A177" s="3">
        <v>45553</v>
      </c>
      <c r="B177" s="4">
        <v>1262320408.5301189</v>
      </c>
    </row>
    <row r="178" spans="1:2" x14ac:dyDescent="0.35">
      <c r="A178" s="3">
        <v>45554</v>
      </c>
      <c r="B178" s="4">
        <v>1261959519.3938291</v>
      </c>
    </row>
    <row r="179" spans="1:2" x14ac:dyDescent="0.35">
      <c r="A179" s="3">
        <v>45555</v>
      </c>
      <c r="B179" s="4">
        <v>1265190093.946008</v>
      </c>
    </row>
    <row r="180" spans="1:2" x14ac:dyDescent="0.35">
      <c r="A180" s="3">
        <v>45558</v>
      </c>
      <c r="B180" s="4">
        <v>1266688136.955379</v>
      </c>
    </row>
    <row r="181" spans="1:2" x14ac:dyDescent="0.35">
      <c r="A181" s="3">
        <v>45559</v>
      </c>
      <c r="B181" s="4">
        <v>1271646342.197685</v>
      </c>
    </row>
    <row r="182" spans="1:2" x14ac:dyDescent="0.35">
      <c r="A182" s="3">
        <v>45560</v>
      </c>
      <c r="B182" s="4">
        <v>1272298760.747046</v>
      </c>
    </row>
    <row r="183" spans="1:2" x14ac:dyDescent="0.35">
      <c r="A183" s="3">
        <v>45561</v>
      </c>
      <c r="B183" s="4">
        <v>1273607995.9933159</v>
      </c>
    </row>
    <row r="184" spans="1:2" x14ac:dyDescent="0.35">
      <c r="A184" s="3">
        <v>45562</v>
      </c>
      <c r="B184" s="4">
        <v>1274118096.185864</v>
      </c>
    </row>
    <row r="185" spans="1:2" x14ac:dyDescent="0.35">
      <c r="A185" s="3">
        <v>45565</v>
      </c>
      <c r="B185" s="4">
        <v>1273252677.517211</v>
      </c>
    </row>
    <row r="186" spans="1:2" x14ac:dyDescent="0.35">
      <c r="A186" s="3">
        <v>45566</v>
      </c>
      <c r="B186" s="4">
        <v>1273252678</v>
      </c>
    </row>
    <row r="187" spans="1:2" x14ac:dyDescent="0.35">
      <c r="A187" s="3">
        <v>45567</v>
      </c>
      <c r="B187" s="4">
        <v>1274757982.5478711</v>
      </c>
    </row>
    <row r="188" spans="1:2" x14ac:dyDescent="0.35">
      <c r="A188" s="3">
        <v>45568</v>
      </c>
      <c r="B188" s="4">
        <v>1267691240.0482659</v>
      </c>
    </row>
    <row r="189" spans="1:2" x14ac:dyDescent="0.35">
      <c r="A189" s="3">
        <v>45569</v>
      </c>
      <c r="B189" s="4">
        <v>1255241842.761982</v>
      </c>
    </row>
    <row r="190" spans="1:2" x14ac:dyDescent="0.35">
      <c r="A190" s="3">
        <v>45572</v>
      </c>
      <c r="B190" s="4">
        <v>1261342448.5301211</v>
      </c>
    </row>
    <row r="191" spans="1:2" x14ac:dyDescent="0.35">
      <c r="A191" s="3">
        <v>45573</v>
      </c>
      <c r="B191" s="4">
        <v>1268448044.7563729</v>
      </c>
    </row>
    <row r="192" spans="1:2" x14ac:dyDescent="0.35">
      <c r="A192" s="3">
        <v>45574</v>
      </c>
      <c r="B192" s="4">
        <v>1282022189.4519391</v>
      </c>
    </row>
    <row r="193" spans="1:2" x14ac:dyDescent="0.35">
      <c r="A193" s="3">
        <v>45575</v>
      </c>
      <c r="B193" s="4">
        <v>1271742856.8429251</v>
      </c>
    </row>
    <row r="194" spans="1:2" x14ac:dyDescent="0.35">
      <c r="A194" s="3">
        <v>45576</v>
      </c>
      <c r="B194" s="4">
        <v>1274159690.8276889</v>
      </c>
    </row>
    <row r="195" spans="1:2" x14ac:dyDescent="0.35">
      <c r="A195" s="3">
        <v>45579</v>
      </c>
      <c r="B195" s="4">
        <v>1278432354.471827</v>
      </c>
    </row>
    <row r="196" spans="1:2" x14ac:dyDescent="0.35">
      <c r="A196" s="3">
        <v>45580</v>
      </c>
      <c r="B196" s="4">
        <v>1278179118.1679649</v>
      </c>
    </row>
    <row r="197" spans="1:2" x14ac:dyDescent="0.35">
      <c r="A197" s="3">
        <v>45581</v>
      </c>
      <c r="B197" s="4">
        <v>1288964022.3258531</v>
      </c>
    </row>
    <row r="198" spans="1:2" x14ac:dyDescent="0.35">
      <c r="A198" s="3">
        <v>45582</v>
      </c>
      <c r="B198" s="4">
        <v>1289955432.152606</v>
      </c>
    </row>
    <row r="199" spans="1:2" x14ac:dyDescent="0.35">
      <c r="A199" s="3">
        <v>45583</v>
      </c>
      <c r="B199" s="4">
        <v>1290228174.2318759</v>
      </c>
    </row>
    <row r="200" spans="1:2" x14ac:dyDescent="0.35">
      <c r="A200" s="3">
        <v>45586</v>
      </c>
      <c r="B200" s="4">
        <v>1272241706.823853</v>
      </c>
    </row>
    <row r="201" spans="1:2" x14ac:dyDescent="0.35">
      <c r="A201" s="3">
        <v>45587</v>
      </c>
      <c r="B201" s="4">
        <v>1261304590.775784</v>
      </c>
    </row>
    <row r="202" spans="1:2" x14ac:dyDescent="0.35">
      <c r="A202" s="3">
        <v>45588</v>
      </c>
      <c r="B202" s="4">
        <v>1269438586.414911</v>
      </c>
    </row>
    <row r="203" spans="1:2" x14ac:dyDescent="0.35">
      <c r="A203" s="3">
        <v>45589</v>
      </c>
      <c r="B203" s="4">
        <v>1262415973.7844379</v>
      </c>
    </row>
    <row r="204" spans="1:2" x14ac:dyDescent="0.35">
      <c r="A204" s="3">
        <v>45590</v>
      </c>
      <c r="B204" s="4">
        <v>1263110705.2210431</v>
      </c>
    </row>
    <row r="205" spans="1:2" x14ac:dyDescent="0.35">
      <c r="A205" s="3">
        <v>45593</v>
      </c>
      <c r="B205" s="4">
        <v>1260344522.410959</v>
      </c>
    </row>
    <row r="206" spans="1:2" x14ac:dyDescent="0.35">
      <c r="A206" s="3">
        <v>45594</v>
      </c>
      <c r="B206" s="4">
        <v>1270932444.968832</v>
      </c>
    </row>
    <row r="207" spans="1:2" x14ac:dyDescent="0.35">
      <c r="A207" s="3">
        <v>45595</v>
      </c>
      <c r="B207" s="4">
        <v>1265021083.1770661</v>
      </c>
    </row>
    <row r="208" spans="1:2" x14ac:dyDescent="0.35">
      <c r="A208" s="3">
        <v>45596</v>
      </c>
      <c r="B208" s="4">
        <v>1269351734.0247841</v>
      </c>
    </row>
    <row r="209" spans="1:2" x14ac:dyDescent="0.35">
      <c r="A209" s="3">
        <v>45597</v>
      </c>
      <c r="B209" s="4">
        <v>1271032189.7130549</v>
      </c>
    </row>
    <row r="210" spans="1:2" x14ac:dyDescent="0.35">
      <c r="A210" s="3">
        <v>45600</v>
      </c>
      <c r="B210" s="4">
        <v>1265961495.482532</v>
      </c>
    </row>
    <row r="211" spans="1:2" x14ac:dyDescent="0.35">
      <c r="A211" s="3">
        <v>45601</v>
      </c>
      <c r="B211" s="4">
        <v>1269564900.7947221</v>
      </c>
    </row>
    <row r="212" spans="1:2" x14ac:dyDescent="0.35">
      <c r="A212" s="3">
        <v>45602</v>
      </c>
      <c r="B212" s="4">
        <v>1276417812.002634</v>
      </c>
    </row>
    <row r="213" spans="1:2" x14ac:dyDescent="0.35">
      <c r="A213" s="3">
        <v>45603</v>
      </c>
      <c r="B213" s="4">
        <v>1267343733.712549</v>
      </c>
    </row>
    <row r="214" spans="1:2" x14ac:dyDescent="0.35">
      <c r="A214" s="3">
        <v>45604</v>
      </c>
      <c r="B214" s="4">
        <v>1265947281.9487469</v>
      </c>
    </row>
    <row r="215" spans="1:2" x14ac:dyDescent="0.35">
      <c r="A215" s="3">
        <v>45607</v>
      </c>
      <c r="B215" s="4">
        <v>1263207290.3414409</v>
      </c>
    </row>
    <row r="216" spans="1:2" x14ac:dyDescent="0.35">
      <c r="A216" s="3">
        <v>45608</v>
      </c>
      <c r="B216" s="4">
        <v>1263535512.0514891</v>
      </c>
    </row>
    <row r="217" spans="1:2" x14ac:dyDescent="0.35">
      <c r="A217" s="3">
        <v>45609</v>
      </c>
      <c r="B217" s="4">
        <v>1261436685.5546131</v>
      </c>
    </row>
    <row r="218" spans="1:2" x14ac:dyDescent="0.35">
      <c r="A218" s="3">
        <v>45610</v>
      </c>
      <c r="B218" s="4">
        <v>1261515616.4419069</v>
      </c>
    </row>
    <row r="219" spans="1:2" x14ac:dyDescent="0.35">
      <c r="A219" s="3">
        <v>45611</v>
      </c>
      <c r="B219" s="4">
        <v>1259531591.6338871</v>
      </c>
    </row>
    <row r="220" spans="1:2" x14ac:dyDescent="0.35">
      <c r="A220" s="3">
        <v>45614</v>
      </c>
      <c r="B220" s="4">
        <v>1258958928.394398</v>
      </c>
    </row>
    <row r="221" spans="1:2" x14ac:dyDescent="0.35">
      <c r="A221" s="3">
        <v>45615</v>
      </c>
      <c r="B221" s="4">
        <v>1259492997.425688</v>
      </c>
    </row>
    <row r="222" spans="1:2" x14ac:dyDescent="0.35">
      <c r="A222" s="3">
        <v>45616</v>
      </c>
      <c r="B222" s="4">
        <v>1259744745.5549171</v>
      </c>
    </row>
    <row r="223" spans="1:2" x14ac:dyDescent="0.35">
      <c r="A223" s="3">
        <v>45617</v>
      </c>
      <c r="B223" s="4">
        <v>1261831630.437958</v>
      </c>
    </row>
    <row r="224" spans="1:2" x14ac:dyDescent="0.35">
      <c r="A224" s="3">
        <v>45618</v>
      </c>
      <c r="B224" s="4">
        <v>1262566349.5334599</v>
      </c>
    </row>
    <row r="225" spans="1:2" x14ac:dyDescent="0.35">
      <c r="A225" s="3">
        <v>45621</v>
      </c>
      <c r="B225" s="4">
        <v>1268865452.4217939</v>
      </c>
    </row>
    <row r="226" spans="1:2" x14ac:dyDescent="0.35">
      <c r="A226" s="3">
        <v>45622</v>
      </c>
      <c r="B226" s="4">
        <v>1267636824.23176</v>
      </c>
    </row>
    <row r="227" spans="1:2" x14ac:dyDescent="0.35">
      <c r="A227" s="3">
        <v>45623</v>
      </c>
      <c r="B227" s="4">
        <v>1267159253.3270111</v>
      </c>
    </row>
    <row r="228" spans="1:2" x14ac:dyDescent="0.35">
      <c r="A228" s="3">
        <v>45624</v>
      </c>
      <c r="B228" s="4">
        <v>1276217282.5508411</v>
      </c>
    </row>
    <row r="229" spans="1:2" x14ac:dyDescent="0.35">
      <c r="A229" s="3">
        <v>45625</v>
      </c>
      <c r="B229" s="4">
        <v>1287384354.4951479</v>
      </c>
    </row>
    <row r="230" spans="1:2" x14ac:dyDescent="0.35">
      <c r="A230" s="3">
        <v>45628</v>
      </c>
      <c r="B230" s="4">
        <v>1287065318.904397</v>
      </c>
    </row>
    <row r="231" spans="1:2" x14ac:dyDescent="0.35">
      <c r="A231" s="3">
        <v>45629</v>
      </c>
      <c r="B231" s="4">
        <v>1286714898.153897</v>
      </c>
    </row>
    <row r="232" spans="1:2" x14ac:dyDescent="0.35">
      <c r="A232" s="3">
        <v>45630</v>
      </c>
      <c r="B232" s="4">
        <v>1283252026.664057</v>
      </c>
    </row>
    <row r="233" spans="1:2" x14ac:dyDescent="0.35">
      <c r="A233" s="3">
        <v>45631</v>
      </c>
      <c r="B233" s="4">
        <v>1296476857.588815</v>
      </c>
    </row>
    <row r="234" spans="1:2" x14ac:dyDescent="0.35">
      <c r="A234" s="3">
        <v>45632</v>
      </c>
      <c r="B234" s="4">
        <v>1293643110.4906321</v>
      </c>
    </row>
    <row r="235" spans="1:2" x14ac:dyDescent="0.35">
      <c r="A235" s="3">
        <v>45635</v>
      </c>
      <c r="B235" s="4">
        <v>1289913043.135957</v>
      </c>
    </row>
    <row r="236" spans="1:2" x14ac:dyDescent="0.35">
      <c r="A236" s="3">
        <v>45636</v>
      </c>
      <c r="B236" s="4">
        <v>1285459295.112818</v>
      </c>
    </row>
    <row r="237" spans="1:2" x14ac:dyDescent="0.35">
      <c r="A237" s="3">
        <v>45637</v>
      </c>
      <c r="B237" s="4">
        <v>1287796315.0925441</v>
      </c>
    </row>
    <row r="238" spans="1:2" x14ac:dyDescent="0.35">
      <c r="A238" s="3">
        <v>45638</v>
      </c>
      <c r="B238" s="4">
        <v>1286208092.8202929</v>
      </c>
    </row>
    <row r="239" spans="1:2" x14ac:dyDescent="0.35">
      <c r="A239" s="3">
        <v>45639</v>
      </c>
      <c r="B239" s="4">
        <v>1286726008.8793049</v>
      </c>
    </row>
    <row r="240" spans="1:2" x14ac:dyDescent="0.35">
      <c r="A240" s="3">
        <v>45642</v>
      </c>
      <c r="B240" s="4">
        <v>1288521926.7452271</v>
      </c>
    </row>
    <row r="241" spans="1:2" x14ac:dyDescent="0.35">
      <c r="A241" s="3">
        <v>45643</v>
      </c>
      <c r="B241" s="4">
        <v>1289968378.8981781</v>
      </c>
    </row>
    <row r="242" spans="1:2" x14ac:dyDescent="0.35">
      <c r="A242" s="3">
        <v>45644</v>
      </c>
      <c r="B242" s="4">
        <v>1287148344.081455</v>
      </c>
    </row>
    <row r="243" spans="1:2" x14ac:dyDescent="0.35">
      <c r="A243" s="3">
        <v>45645</v>
      </c>
      <c r="B243" s="4">
        <v>1284804115.901572</v>
      </c>
    </row>
    <row r="244" spans="1:2" x14ac:dyDescent="0.35">
      <c r="A244" s="3">
        <v>45646</v>
      </c>
      <c r="B244" s="4">
        <v>1287510222.9829581</v>
      </c>
    </row>
    <row r="245" spans="1:2" x14ac:dyDescent="0.35">
      <c r="A245" s="3">
        <v>45649</v>
      </c>
      <c r="B245" s="4">
        <v>1289776969.3738329</v>
      </c>
    </row>
    <row r="246" spans="1:2" x14ac:dyDescent="0.35">
      <c r="A246" s="3">
        <v>45650</v>
      </c>
      <c r="B246" s="4">
        <v>1291633110.9648571</v>
      </c>
    </row>
    <row r="247" spans="1:2" x14ac:dyDescent="0.35">
      <c r="A247" s="3">
        <v>45651</v>
      </c>
      <c r="B247" s="4">
        <v>1294896523.2089109</v>
      </c>
    </row>
    <row r="248" spans="1:2" x14ac:dyDescent="0.35">
      <c r="A248" s="3">
        <v>45652</v>
      </c>
      <c r="B248" s="4">
        <v>1295680876.8058939</v>
      </c>
    </row>
    <row r="249" spans="1:2" x14ac:dyDescent="0.35">
      <c r="A249" s="3">
        <v>45653</v>
      </c>
      <c r="B249" s="4">
        <v>1294595894.177983</v>
      </c>
    </row>
    <row r="250" spans="1:2" x14ac:dyDescent="0.35">
      <c r="A250" s="3">
        <v>45656</v>
      </c>
      <c r="B250" s="4">
        <v>1293071902.4465079</v>
      </c>
    </row>
    <row r="251" spans="1:2" x14ac:dyDescent="0.35">
      <c r="A251" s="3">
        <v>45657</v>
      </c>
      <c r="B251" s="4">
        <v>1293447239.9388571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tabSelected="1" zoomScaleNormal="100" workbookViewId="0">
      <selection activeCell="F42" sqref="F42"/>
    </sheetView>
  </sheetViews>
  <sheetFormatPr defaultRowHeight="14.5" x14ac:dyDescent="0.35"/>
  <cols>
    <col min="1" max="8" width="11" customWidth="1"/>
  </cols>
  <sheetData>
    <row r="1" spans="1:8" x14ac:dyDescent="0.35">
      <c r="A1" s="6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7" t="s">
        <v>13</v>
      </c>
      <c r="G1" s="1" t="s">
        <v>14</v>
      </c>
      <c r="H1" s="1" t="s">
        <v>15</v>
      </c>
    </row>
    <row r="2" spans="1:8" x14ac:dyDescent="0.35">
      <c r="A2" s="17" t="s">
        <v>22</v>
      </c>
      <c r="B2" s="17"/>
      <c r="C2" s="17"/>
      <c r="D2" s="17"/>
      <c r="E2" s="17"/>
      <c r="F2" s="17"/>
      <c r="G2" s="17"/>
      <c r="H2" s="17"/>
    </row>
    <row r="3" spans="1:8" x14ac:dyDescent="0.35">
      <c r="A3" t="s">
        <v>63</v>
      </c>
      <c r="B3">
        <v>0.1661</v>
      </c>
      <c r="C3">
        <v>0.1</v>
      </c>
      <c r="D3" t="s">
        <v>24</v>
      </c>
      <c r="E3" t="s">
        <v>64</v>
      </c>
      <c r="F3" s="13">
        <v>0.20155038759689919</v>
      </c>
      <c r="G3" s="13">
        <v>0.20155038759689919</v>
      </c>
      <c r="H3" t="s">
        <v>17</v>
      </c>
    </row>
    <row r="4" spans="1:8" x14ac:dyDescent="0.35">
      <c r="A4" t="s">
        <v>33</v>
      </c>
      <c r="B4">
        <v>0.1414</v>
      </c>
      <c r="C4">
        <v>0.08</v>
      </c>
      <c r="D4" t="s">
        <v>24</v>
      </c>
      <c r="E4" t="s">
        <v>27</v>
      </c>
      <c r="F4" s="13">
        <v>8.1677704194260431E-2</v>
      </c>
      <c r="G4" s="13">
        <v>0.1037527593818984</v>
      </c>
      <c r="H4" t="s">
        <v>18</v>
      </c>
    </row>
    <row r="5" spans="1:8" x14ac:dyDescent="0.35">
      <c r="A5" t="s">
        <v>59</v>
      </c>
      <c r="B5">
        <v>0.1183</v>
      </c>
      <c r="C5">
        <v>0.43</v>
      </c>
      <c r="D5" t="s">
        <v>24</v>
      </c>
      <c r="E5" t="s">
        <v>29</v>
      </c>
      <c r="F5" s="13">
        <v>-0.11111111111111099</v>
      </c>
      <c r="G5" s="13">
        <v>1.133925334312773E-3</v>
      </c>
      <c r="H5" t="s">
        <v>16</v>
      </c>
    </row>
    <row r="6" spans="1:8" x14ac:dyDescent="0.35">
      <c r="A6" t="s">
        <v>60</v>
      </c>
      <c r="B6">
        <v>0.1096</v>
      </c>
      <c r="C6">
        <v>0.38</v>
      </c>
      <c r="D6" t="s">
        <v>24</v>
      </c>
      <c r="E6" t="s">
        <v>27</v>
      </c>
      <c r="F6" s="13">
        <v>0.13429252740212799</v>
      </c>
      <c r="G6" s="13">
        <v>0.16306949755972669</v>
      </c>
      <c r="H6" t="s">
        <v>18</v>
      </c>
    </row>
    <row r="7" spans="1:8" x14ac:dyDescent="0.35">
      <c r="A7" t="s">
        <v>32</v>
      </c>
      <c r="B7">
        <v>9.6699999999999994E-2</v>
      </c>
      <c r="C7">
        <v>0.14000000000000001</v>
      </c>
      <c r="D7" t="s">
        <v>24</v>
      </c>
      <c r="E7" t="s">
        <v>65</v>
      </c>
      <c r="F7" s="13">
        <v>0.21076233183856491</v>
      </c>
      <c r="G7" s="13">
        <v>0.21076233183856491</v>
      </c>
      <c r="H7" t="s">
        <v>17</v>
      </c>
    </row>
    <row r="8" spans="1:8" x14ac:dyDescent="0.35">
      <c r="A8" t="s">
        <v>61</v>
      </c>
      <c r="B8">
        <v>9.2299999999999993E-2</v>
      </c>
      <c r="C8">
        <v>0.78</v>
      </c>
      <c r="D8" t="s">
        <v>24</v>
      </c>
      <c r="E8" t="s">
        <v>62</v>
      </c>
      <c r="F8" s="13">
        <v>-0.1029411764705882</v>
      </c>
      <c r="G8" s="13">
        <v>9.9264705882352935E-2</v>
      </c>
      <c r="H8" t="s">
        <v>16</v>
      </c>
    </row>
    <row r="9" spans="1:8" x14ac:dyDescent="0.35">
      <c r="A9" t="s">
        <v>20</v>
      </c>
      <c r="B9">
        <v>5.8099999999999999E-2</v>
      </c>
      <c r="C9">
        <v>0.16</v>
      </c>
      <c r="D9" t="s">
        <v>24</v>
      </c>
      <c r="E9" t="s">
        <v>25</v>
      </c>
      <c r="F9" s="13">
        <v>0.25656536976010941</v>
      </c>
      <c r="G9" s="13">
        <v>0.25656536976010941</v>
      </c>
      <c r="H9" t="s">
        <v>17</v>
      </c>
    </row>
    <row r="10" spans="1:8" x14ac:dyDescent="0.35">
      <c r="A10" s="14" t="s">
        <v>30</v>
      </c>
      <c r="B10">
        <v>5.5100000000000003E-2</v>
      </c>
      <c r="C10">
        <v>0.97</v>
      </c>
      <c r="D10" t="s">
        <v>24</v>
      </c>
      <c r="E10" t="s">
        <v>27</v>
      </c>
      <c r="F10" s="13">
        <v>0.17466062311550121</v>
      </c>
      <c r="G10" s="13">
        <v>0.2062256809338521</v>
      </c>
      <c r="H10" t="s">
        <v>18</v>
      </c>
    </row>
    <row r="11" spans="1:8" x14ac:dyDescent="0.35">
      <c r="A11" t="s">
        <v>26</v>
      </c>
      <c r="B11">
        <v>5.45E-2</v>
      </c>
      <c r="C11">
        <v>0.06</v>
      </c>
      <c r="D11" t="s">
        <v>24</v>
      </c>
      <c r="E11" t="s">
        <v>27</v>
      </c>
      <c r="F11" s="13">
        <v>9.1743119266055051E-3</v>
      </c>
      <c r="G11" s="13">
        <v>9.1743119266055051E-2</v>
      </c>
      <c r="H11" t="s">
        <v>18</v>
      </c>
    </row>
    <row r="12" spans="1:8" x14ac:dyDescent="0.35">
      <c r="A12" t="s">
        <v>31</v>
      </c>
      <c r="B12">
        <v>5.4399999999999997E-2</v>
      </c>
      <c r="C12">
        <v>0.04</v>
      </c>
      <c r="D12" t="s">
        <v>24</v>
      </c>
      <c r="E12" t="s">
        <v>27</v>
      </c>
      <c r="F12" s="13">
        <v>2.758620689655171E-2</v>
      </c>
      <c r="G12" s="13">
        <v>3.4482758620689599E-2</v>
      </c>
      <c r="H12" t="s">
        <v>18</v>
      </c>
    </row>
    <row r="13" spans="1:8" x14ac:dyDescent="0.35">
      <c r="A13" t="s">
        <v>57</v>
      </c>
      <c r="B13">
        <v>5.3499999999999999E-2</v>
      </c>
      <c r="C13">
        <v>0.44</v>
      </c>
      <c r="D13" t="s">
        <v>24</v>
      </c>
      <c r="E13" t="s">
        <v>58</v>
      </c>
      <c r="F13" s="13">
        <v>-0.1096774193548387</v>
      </c>
      <c r="G13" s="13">
        <v>1.935483870967742E-2</v>
      </c>
      <c r="H13" t="s">
        <v>16</v>
      </c>
    </row>
    <row r="14" spans="1:8" x14ac:dyDescent="0.35">
      <c r="A14" s="17" t="s">
        <v>34</v>
      </c>
      <c r="B14" s="17"/>
      <c r="C14" s="17"/>
      <c r="D14" s="17"/>
      <c r="E14" s="17"/>
      <c r="F14" s="17"/>
      <c r="G14" s="17"/>
      <c r="H14" s="17"/>
    </row>
    <row r="15" spans="1:8" x14ac:dyDescent="0.35">
      <c r="A15" t="s">
        <v>36</v>
      </c>
      <c r="B15">
        <v>0.19350000000000001</v>
      </c>
      <c r="C15">
        <v>0.08</v>
      </c>
      <c r="D15" t="s">
        <v>37</v>
      </c>
      <c r="E15" t="s">
        <v>35</v>
      </c>
      <c r="F15" s="13">
        <v>0.1638513513513514</v>
      </c>
      <c r="G15" s="13">
        <v>0.1925675675675676</v>
      </c>
      <c r="H15" t="s">
        <v>18</v>
      </c>
    </row>
    <row r="16" spans="1:8" x14ac:dyDescent="0.35">
      <c r="A16" t="s">
        <v>33</v>
      </c>
      <c r="B16">
        <v>0.1002</v>
      </c>
      <c r="C16">
        <v>0.08</v>
      </c>
      <c r="D16" t="s">
        <v>24</v>
      </c>
      <c r="E16" t="s">
        <v>35</v>
      </c>
      <c r="F16" s="13">
        <v>0.1015452538631345</v>
      </c>
      <c r="G16" s="13">
        <v>0.1037527593818984</v>
      </c>
      <c r="H16" t="s">
        <v>18</v>
      </c>
    </row>
    <row r="17" spans="1:8" x14ac:dyDescent="0.35">
      <c r="A17" t="s">
        <v>73</v>
      </c>
      <c r="B17">
        <v>9.6500000000000002E-2</v>
      </c>
      <c r="C17">
        <v>1.08</v>
      </c>
      <c r="D17" t="s">
        <v>37</v>
      </c>
      <c r="E17" t="s">
        <v>42</v>
      </c>
      <c r="F17" s="13">
        <v>0.28444444444444439</v>
      </c>
      <c r="G17" s="13">
        <v>0.28444444444444439</v>
      </c>
      <c r="H17" t="s">
        <v>17</v>
      </c>
    </row>
    <row r="18" spans="1:8" x14ac:dyDescent="0.35">
      <c r="A18" t="s">
        <v>32</v>
      </c>
      <c r="B18">
        <v>8.9099999999999999E-2</v>
      </c>
      <c r="C18">
        <v>0.14000000000000001</v>
      </c>
      <c r="D18" t="s">
        <v>37</v>
      </c>
      <c r="E18" t="s">
        <v>43</v>
      </c>
      <c r="F18" s="13">
        <v>0.27372262773722628</v>
      </c>
      <c r="G18" s="13">
        <v>0.27372262773722628</v>
      </c>
      <c r="H18" t="s">
        <v>17</v>
      </c>
    </row>
    <row r="19" spans="1:8" x14ac:dyDescent="0.35">
      <c r="A19" t="s">
        <v>40</v>
      </c>
      <c r="B19">
        <v>8.7999999999999995E-2</v>
      </c>
      <c r="C19">
        <v>0.3</v>
      </c>
      <c r="D19" t="s">
        <v>37</v>
      </c>
      <c r="E19" t="s">
        <v>35</v>
      </c>
      <c r="F19" s="13">
        <v>8.8247066833446783E-2</v>
      </c>
      <c r="G19" s="13">
        <v>0.13138686131386859</v>
      </c>
      <c r="H19" t="s">
        <v>18</v>
      </c>
    </row>
    <row r="20" spans="1:8" x14ac:dyDescent="0.35">
      <c r="A20" t="s">
        <v>70</v>
      </c>
      <c r="B20">
        <v>8.7900000000000006E-2</v>
      </c>
      <c r="C20">
        <v>0.33</v>
      </c>
      <c r="D20" t="s">
        <v>37</v>
      </c>
      <c r="E20" t="s">
        <v>71</v>
      </c>
      <c r="F20" s="13">
        <v>0.20178041543026709</v>
      </c>
      <c r="G20" s="13">
        <v>0.20178041543026709</v>
      </c>
      <c r="H20" t="s">
        <v>17</v>
      </c>
    </row>
    <row r="21" spans="1:8" x14ac:dyDescent="0.35">
      <c r="A21" t="s">
        <v>72</v>
      </c>
      <c r="B21">
        <v>8.5599999999999996E-2</v>
      </c>
      <c r="C21">
        <v>1.1100000000000001</v>
      </c>
      <c r="D21" t="s">
        <v>37</v>
      </c>
      <c r="E21" t="s">
        <v>35</v>
      </c>
      <c r="F21" s="13">
        <v>1.4819735378119789E-2</v>
      </c>
      <c r="G21" s="13">
        <v>7.783851980202873E-2</v>
      </c>
      <c r="H21" t="s">
        <v>18</v>
      </c>
    </row>
    <row r="22" spans="1:8" x14ac:dyDescent="0.35">
      <c r="A22" t="s">
        <v>68</v>
      </c>
      <c r="B22">
        <v>8.0500000000000002E-2</v>
      </c>
      <c r="C22">
        <v>0.2</v>
      </c>
      <c r="D22" t="s">
        <v>37</v>
      </c>
      <c r="E22" t="s">
        <v>69</v>
      </c>
      <c r="F22" s="13">
        <v>0.2247520066725083</v>
      </c>
      <c r="G22" s="13">
        <v>0.2247520066725083</v>
      </c>
      <c r="H22" t="s">
        <v>17</v>
      </c>
    </row>
    <row r="23" spans="1:8" x14ac:dyDescent="0.35">
      <c r="A23" t="s">
        <v>41</v>
      </c>
      <c r="B23">
        <v>5.1499999999999997E-2</v>
      </c>
      <c r="C23">
        <v>0.69</v>
      </c>
      <c r="D23" t="s">
        <v>37</v>
      </c>
      <c r="E23" t="s">
        <v>42</v>
      </c>
      <c r="F23" s="13">
        <v>-0.1164658634538152</v>
      </c>
      <c r="G23" s="13">
        <v>0</v>
      </c>
      <c r="H23" t="s">
        <v>16</v>
      </c>
    </row>
    <row r="24" spans="1:8" x14ac:dyDescent="0.35">
      <c r="A24" t="s">
        <v>31</v>
      </c>
      <c r="B24">
        <v>5.0500000000000003E-2</v>
      </c>
      <c r="C24">
        <v>0.04</v>
      </c>
      <c r="D24" t="s">
        <v>24</v>
      </c>
      <c r="E24" t="s">
        <v>35</v>
      </c>
      <c r="F24" s="13">
        <v>8.2758620689655116E-2</v>
      </c>
      <c r="G24" s="13">
        <v>0.1241379310344827</v>
      </c>
      <c r="H24" t="s">
        <v>18</v>
      </c>
    </row>
    <row r="25" spans="1:8" x14ac:dyDescent="0.35">
      <c r="A25" t="s">
        <v>66</v>
      </c>
      <c r="B25">
        <v>4.3299999999999998E-2</v>
      </c>
      <c r="C25">
        <v>0.56999999999999995</v>
      </c>
      <c r="D25" t="s">
        <v>37</v>
      </c>
      <c r="E25" t="s">
        <v>67</v>
      </c>
      <c r="F25" s="13">
        <v>0.21206896551724161</v>
      </c>
      <c r="G25" s="13">
        <v>0.21206896551724161</v>
      </c>
      <c r="H25" t="s">
        <v>17</v>
      </c>
    </row>
    <row r="26" spans="1:8" x14ac:dyDescent="0.35">
      <c r="A26" t="s">
        <v>30</v>
      </c>
      <c r="B26">
        <v>3.3399999999999999E-2</v>
      </c>
      <c r="C26">
        <v>0.97</v>
      </c>
      <c r="D26" t="s">
        <v>24</v>
      </c>
      <c r="E26" t="s">
        <v>38</v>
      </c>
      <c r="F26" s="13">
        <v>0.2551168301782068</v>
      </c>
      <c r="G26" s="13">
        <v>0.2551168301782068</v>
      </c>
      <c r="H26" t="s">
        <v>17</v>
      </c>
    </row>
    <row r="27" spans="1:8" x14ac:dyDescent="0.35">
      <c r="A27" s="17" t="s">
        <v>44</v>
      </c>
      <c r="B27" s="17"/>
      <c r="C27" s="17"/>
      <c r="D27" s="17"/>
      <c r="E27" s="17"/>
      <c r="F27" s="17"/>
      <c r="G27" s="17"/>
      <c r="H27" s="17"/>
    </row>
    <row r="28" spans="1:8" x14ac:dyDescent="0.35">
      <c r="A28" t="s">
        <v>36</v>
      </c>
      <c r="B28" s="13">
        <v>0.13950000000000001</v>
      </c>
      <c r="C28">
        <v>0.08</v>
      </c>
      <c r="D28" t="s">
        <v>37</v>
      </c>
      <c r="E28" t="s">
        <v>75</v>
      </c>
      <c r="F28" s="13">
        <v>0.20198334599920759</v>
      </c>
      <c r="G28" s="13">
        <v>0.20198334599920759</v>
      </c>
      <c r="H28" t="s">
        <v>17</v>
      </c>
    </row>
    <row r="29" spans="1:8" x14ac:dyDescent="0.35">
      <c r="A29" t="s">
        <v>76</v>
      </c>
      <c r="B29" s="13">
        <v>0.113</v>
      </c>
      <c r="C29">
        <v>0.17</v>
      </c>
      <c r="D29" t="s">
        <v>48</v>
      </c>
      <c r="E29" t="s">
        <v>77</v>
      </c>
      <c r="F29" s="13">
        <v>0.26666666666666672</v>
      </c>
      <c r="G29" s="13">
        <v>0.26666666666666672</v>
      </c>
      <c r="H29" t="s">
        <v>17</v>
      </c>
    </row>
    <row r="30" spans="1:8" x14ac:dyDescent="0.35">
      <c r="A30" t="s">
        <v>32</v>
      </c>
      <c r="B30" s="13">
        <v>9.0499999999999997E-2</v>
      </c>
      <c r="C30">
        <v>0.14000000000000001</v>
      </c>
      <c r="D30" t="s">
        <v>48</v>
      </c>
      <c r="E30" t="s">
        <v>47</v>
      </c>
      <c r="F30" s="13">
        <v>-4.4152327389321878E-3</v>
      </c>
      <c r="G30" s="13">
        <v>1.6563632170568561E-2</v>
      </c>
      <c r="H30" t="s">
        <v>18</v>
      </c>
    </row>
    <row r="31" spans="1:8" x14ac:dyDescent="0.35">
      <c r="A31" t="s">
        <v>73</v>
      </c>
      <c r="B31" s="13">
        <v>7.9699999999999993E-2</v>
      </c>
      <c r="C31">
        <v>1.08</v>
      </c>
      <c r="D31" t="s">
        <v>48</v>
      </c>
      <c r="E31" t="s">
        <v>85</v>
      </c>
      <c r="F31" s="15">
        <v>-0.2068965517241379</v>
      </c>
      <c r="G31" s="13">
        <v>6.3218390804597693E-2</v>
      </c>
      <c r="H31" t="s">
        <v>16</v>
      </c>
    </row>
    <row r="32" spans="1:8" x14ac:dyDescent="0.35">
      <c r="A32" t="s">
        <v>19</v>
      </c>
      <c r="B32" s="13">
        <v>7.3899999999999993E-2</v>
      </c>
      <c r="C32">
        <v>0.31</v>
      </c>
      <c r="D32" t="s">
        <v>48</v>
      </c>
      <c r="E32" t="s">
        <v>47</v>
      </c>
      <c r="F32" s="13">
        <v>0.14516151520834999</v>
      </c>
      <c r="G32" s="13">
        <v>0.155914203380393</v>
      </c>
      <c r="H32" t="s">
        <v>18</v>
      </c>
    </row>
    <row r="33" spans="1:8" x14ac:dyDescent="0.35">
      <c r="A33" t="s">
        <v>80</v>
      </c>
      <c r="B33" s="13">
        <v>5.9900000000000002E-2</v>
      </c>
      <c r="C33">
        <v>0.44</v>
      </c>
      <c r="D33" t="s">
        <v>48</v>
      </c>
      <c r="E33" t="s">
        <v>81</v>
      </c>
      <c r="F33" s="13">
        <v>-0.11635477177419749</v>
      </c>
      <c r="G33" s="13">
        <v>5.2173913043477927E-3</v>
      </c>
      <c r="H33" t="s">
        <v>16</v>
      </c>
    </row>
    <row r="34" spans="1:8" x14ac:dyDescent="0.35">
      <c r="A34" t="s">
        <v>90</v>
      </c>
      <c r="B34" s="13">
        <v>5.7299999999999997E-2</v>
      </c>
      <c r="C34">
        <v>0.1</v>
      </c>
      <c r="D34" t="s">
        <v>48</v>
      </c>
      <c r="E34" t="s">
        <v>87</v>
      </c>
      <c r="F34" s="13">
        <v>0.2125984251968504</v>
      </c>
      <c r="G34" s="13">
        <v>0.2125984251968504</v>
      </c>
      <c r="H34" t="s">
        <v>17</v>
      </c>
    </row>
    <row r="35" spans="1:8" x14ac:dyDescent="0.35">
      <c r="A35" t="s">
        <v>33</v>
      </c>
      <c r="B35" s="13">
        <v>5.1499999999999997E-2</v>
      </c>
      <c r="C35">
        <v>0.08</v>
      </c>
      <c r="D35" t="s">
        <v>24</v>
      </c>
      <c r="E35" t="s">
        <v>47</v>
      </c>
      <c r="F35" s="13">
        <v>0.102649129384474</v>
      </c>
      <c r="G35" s="13">
        <v>0.17880794701986749</v>
      </c>
      <c r="H35" t="s">
        <v>18</v>
      </c>
    </row>
    <row r="36" spans="1:8" x14ac:dyDescent="0.35">
      <c r="A36" t="s">
        <v>40</v>
      </c>
      <c r="B36" s="13">
        <v>5.0299999999999997E-2</v>
      </c>
      <c r="C36">
        <v>0.3</v>
      </c>
      <c r="D36" t="s">
        <v>37</v>
      </c>
      <c r="E36" t="s">
        <v>79</v>
      </c>
      <c r="F36" s="13">
        <v>0.23814335703089121</v>
      </c>
      <c r="G36" s="13">
        <v>0.23814335703089121</v>
      </c>
      <c r="H36" t="s">
        <v>17</v>
      </c>
    </row>
    <row r="37" spans="1:8" x14ac:dyDescent="0.35">
      <c r="A37" t="s">
        <v>83</v>
      </c>
      <c r="B37" s="13">
        <v>4.7300000000000002E-2</v>
      </c>
      <c r="C37">
        <v>0.62</v>
      </c>
      <c r="D37" t="s">
        <v>48</v>
      </c>
      <c r="E37" t="s">
        <v>84</v>
      </c>
      <c r="F37" s="15">
        <v>-0.1890547263681592</v>
      </c>
      <c r="G37" s="13">
        <v>3.482587064676617E-2</v>
      </c>
      <c r="H37" t="s">
        <v>16</v>
      </c>
    </row>
    <row r="38" spans="1:8" x14ac:dyDescent="0.35">
      <c r="A38" t="s">
        <v>82</v>
      </c>
      <c r="B38" s="13">
        <v>4.5100000000000001E-2</v>
      </c>
      <c r="C38">
        <v>0.26</v>
      </c>
      <c r="D38" t="s">
        <v>48</v>
      </c>
      <c r="E38" t="s">
        <v>47</v>
      </c>
      <c r="F38" s="13">
        <v>-1.4141414141414231E-2</v>
      </c>
      <c r="G38" s="13">
        <v>8.6868686868686776E-2</v>
      </c>
      <c r="H38" t="s">
        <v>18</v>
      </c>
    </row>
    <row r="39" spans="1:8" x14ac:dyDescent="0.35">
      <c r="A39" s="14" t="s">
        <v>88</v>
      </c>
      <c r="B39" s="15">
        <v>4.41E-2</v>
      </c>
      <c r="C39" s="14">
        <v>0.25</v>
      </c>
      <c r="D39" s="14" t="s">
        <v>48</v>
      </c>
      <c r="E39" s="14" t="s">
        <v>89</v>
      </c>
      <c r="F39" s="15">
        <v>-0.17837837837837839</v>
      </c>
      <c r="G39" s="15">
        <v>0.18378378378378379</v>
      </c>
      <c r="H39" s="14" t="s">
        <v>16</v>
      </c>
    </row>
    <row r="40" spans="1:8" x14ac:dyDescent="0.35">
      <c r="A40" t="s">
        <v>86</v>
      </c>
      <c r="B40" s="13">
        <v>4.2900000000000001E-2</v>
      </c>
      <c r="C40">
        <v>0.1</v>
      </c>
      <c r="D40" t="s">
        <v>48</v>
      </c>
      <c r="E40" t="s">
        <v>87</v>
      </c>
      <c r="F40" s="13">
        <v>0.25095046775277541</v>
      </c>
      <c r="G40" s="13">
        <v>0.25095046775277541</v>
      </c>
      <c r="H40" t="s">
        <v>17</v>
      </c>
    </row>
    <row r="41" spans="1:8" x14ac:dyDescent="0.35">
      <c r="A41" t="s">
        <v>66</v>
      </c>
      <c r="B41" s="13">
        <v>4.1700000000000001E-2</v>
      </c>
      <c r="C41">
        <v>0.56999999999999995</v>
      </c>
      <c r="D41" t="s">
        <v>48</v>
      </c>
      <c r="E41" t="s">
        <v>74</v>
      </c>
      <c r="F41" s="13">
        <v>-0.1008403361344539</v>
      </c>
      <c r="G41" s="13">
        <v>8.2633053221288402E-2</v>
      </c>
      <c r="H41" t="s">
        <v>16</v>
      </c>
    </row>
    <row r="42" spans="1:8" x14ac:dyDescent="0.35">
      <c r="A42" t="s">
        <v>31</v>
      </c>
      <c r="B42" s="13">
        <v>3.95E-2</v>
      </c>
      <c r="C42">
        <v>0.04</v>
      </c>
      <c r="D42" t="s">
        <v>24</v>
      </c>
      <c r="E42" t="s">
        <v>78</v>
      </c>
      <c r="F42" s="13">
        <v>0.2</v>
      </c>
      <c r="G42" s="13">
        <v>0.2</v>
      </c>
      <c r="H42" t="s">
        <v>17</v>
      </c>
    </row>
    <row r="43" spans="1:8" x14ac:dyDescent="0.35">
      <c r="A43" t="s">
        <v>72</v>
      </c>
      <c r="B43" s="13">
        <v>2.3800000000000002E-2</v>
      </c>
      <c r="C43">
        <v>1.1100000000000001</v>
      </c>
      <c r="D43" t="s">
        <v>37</v>
      </c>
      <c r="E43" t="s">
        <v>47</v>
      </c>
      <c r="F43" s="13">
        <v>5.1761781419721563E-2</v>
      </c>
      <c r="G43" s="13">
        <v>7.783851980202873E-2</v>
      </c>
      <c r="H43" t="s">
        <v>18</v>
      </c>
    </row>
    <row r="44" spans="1:8" x14ac:dyDescent="0.35">
      <c r="A44" s="17" t="s">
        <v>49</v>
      </c>
      <c r="B44" s="17"/>
      <c r="C44" s="17"/>
      <c r="D44" s="17"/>
      <c r="E44" s="17"/>
      <c r="F44" s="17"/>
      <c r="G44" s="17"/>
      <c r="H44" s="17"/>
    </row>
    <row r="45" spans="1:8" x14ac:dyDescent="0.35">
      <c r="A45" t="s">
        <v>101</v>
      </c>
      <c r="B45">
        <v>0.17019999999999999</v>
      </c>
      <c r="C45">
        <v>0.22</v>
      </c>
      <c r="D45" t="s">
        <v>52</v>
      </c>
      <c r="E45" t="s">
        <v>53</v>
      </c>
      <c r="F45" s="13">
        <v>1.0526315789473649E-2</v>
      </c>
      <c r="G45" s="13">
        <v>3.5087719298245529E-2</v>
      </c>
      <c r="H45" t="s">
        <v>18</v>
      </c>
    </row>
    <row r="46" spans="1:8" x14ac:dyDescent="0.35">
      <c r="A46" t="s">
        <v>55</v>
      </c>
      <c r="B46">
        <v>0.1268</v>
      </c>
      <c r="C46">
        <v>0.21</v>
      </c>
      <c r="D46" t="s">
        <v>52</v>
      </c>
      <c r="E46" t="s">
        <v>53</v>
      </c>
      <c r="F46" s="13">
        <v>-3.3557046979865772E-2</v>
      </c>
      <c r="G46" s="13">
        <v>1.342281879194639E-2</v>
      </c>
      <c r="H46" t="s">
        <v>18</v>
      </c>
    </row>
    <row r="47" spans="1:8" x14ac:dyDescent="0.35">
      <c r="A47" t="s">
        <v>39</v>
      </c>
      <c r="B47">
        <v>8.3099999999999993E-2</v>
      </c>
      <c r="C47">
        <v>0.15</v>
      </c>
      <c r="D47" t="s">
        <v>52</v>
      </c>
      <c r="E47" t="s">
        <v>94</v>
      </c>
      <c r="F47" s="13">
        <v>-0.1127744510978044</v>
      </c>
      <c r="G47" s="13">
        <v>1.1976047904191579E-2</v>
      </c>
      <c r="H47" t="s">
        <v>16</v>
      </c>
    </row>
    <row r="48" spans="1:8" x14ac:dyDescent="0.35">
      <c r="A48" t="s">
        <v>51</v>
      </c>
      <c r="B48">
        <v>7.6600000000000001E-2</v>
      </c>
      <c r="C48">
        <v>0.3</v>
      </c>
      <c r="D48" t="s">
        <v>52</v>
      </c>
      <c r="E48" t="s">
        <v>91</v>
      </c>
      <c r="F48" s="13">
        <v>0.23076923076923081</v>
      </c>
      <c r="G48" s="13">
        <v>0.23076923076923081</v>
      </c>
      <c r="H48" t="s">
        <v>17</v>
      </c>
    </row>
    <row r="49" spans="1:8" x14ac:dyDescent="0.35">
      <c r="A49" t="s">
        <v>56</v>
      </c>
      <c r="B49">
        <v>6.6199999999999995E-2</v>
      </c>
      <c r="C49">
        <v>0.18</v>
      </c>
      <c r="D49" t="s">
        <v>52</v>
      </c>
      <c r="E49" t="s">
        <v>53</v>
      </c>
      <c r="F49" s="13">
        <v>4.2424242424242427E-2</v>
      </c>
      <c r="G49" s="13">
        <v>7.8787878787878782E-2</v>
      </c>
      <c r="H49" t="s">
        <v>18</v>
      </c>
    </row>
    <row r="50" spans="1:8" x14ac:dyDescent="0.35">
      <c r="A50" t="s">
        <v>19</v>
      </c>
      <c r="B50">
        <v>6.2399999999999997E-2</v>
      </c>
      <c r="C50">
        <v>0.31</v>
      </c>
      <c r="D50" t="s">
        <v>48</v>
      </c>
      <c r="E50" t="s">
        <v>95</v>
      </c>
      <c r="F50" s="13">
        <v>0.2043010752688173</v>
      </c>
      <c r="G50" s="13">
        <v>0.2043010752688173</v>
      </c>
      <c r="H50" t="s">
        <v>17</v>
      </c>
    </row>
    <row r="51" spans="1:8" x14ac:dyDescent="0.35">
      <c r="A51" t="s">
        <v>103</v>
      </c>
      <c r="B51">
        <v>5.3999999999999999E-2</v>
      </c>
      <c r="C51">
        <v>0.69</v>
      </c>
      <c r="D51" t="s">
        <v>52</v>
      </c>
      <c r="E51" t="s">
        <v>104</v>
      </c>
      <c r="F51" s="13">
        <v>-0.1012987012987013</v>
      </c>
      <c r="G51" s="13">
        <v>0</v>
      </c>
      <c r="H51" t="s">
        <v>16</v>
      </c>
    </row>
    <row r="52" spans="1:8" x14ac:dyDescent="0.35">
      <c r="A52" t="s">
        <v>92</v>
      </c>
      <c r="B52">
        <v>5.3100000000000001E-2</v>
      </c>
      <c r="C52">
        <v>0.09</v>
      </c>
      <c r="D52" t="s">
        <v>52</v>
      </c>
      <c r="E52" t="s">
        <v>93</v>
      </c>
      <c r="F52" s="13">
        <v>0.24503311258278129</v>
      </c>
      <c r="G52" s="13">
        <v>0.24503311258278129</v>
      </c>
      <c r="H52" t="s">
        <v>17</v>
      </c>
    </row>
    <row r="53" spans="1:8" x14ac:dyDescent="0.35">
      <c r="A53" t="s">
        <v>32</v>
      </c>
      <c r="B53">
        <v>4.7399999999999998E-2</v>
      </c>
      <c r="C53">
        <v>0.14000000000000001</v>
      </c>
      <c r="D53" t="s">
        <v>48</v>
      </c>
      <c r="E53" t="s">
        <v>98</v>
      </c>
      <c r="F53" s="13">
        <v>0.21595212057639809</v>
      </c>
      <c r="G53" s="13">
        <v>0.21595212057639809</v>
      </c>
      <c r="H53" t="s">
        <v>17</v>
      </c>
    </row>
    <row r="54" spans="1:8" x14ac:dyDescent="0.35">
      <c r="A54" t="s">
        <v>28</v>
      </c>
      <c r="B54">
        <v>4.5100000000000001E-2</v>
      </c>
      <c r="C54">
        <v>0.22</v>
      </c>
      <c r="D54" t="s">
        <v>52</v>
      </c>
      <c r="E54" t="s">
        <v>54</v>
      </c>
      <c r="F54" s="13">
        <v>-0.1180026954549393</v>
      </c>
      <c r="G54" s="13">
        <v>6.1073515629312747E-4</v>
      </c>
      <c r="H54" t="s">
        <v>16</v>
      </c>
    </row>
    <row r="55" spans="1:8" x14ac:dyDescent="0.35">
      <c r="A55" t="s">
        <v>96</v>
      </c>
      <c r="B55">
        <v>4.4999999999999998E-2</v>
      </c>
      <c r="C55">
        <v>0.83</v>
      </c>
      <c r="D55" t="s">
        <v>52</v>
      </c>
      <c r="E55" t="s">
        <v>97</v>
      </c>
      <c r="F55" s="13">
        <v>-0.10126582278481019</v>
      </c>
      <c r="G55" s="13">
        <v>1.5822784810126559E-2</v>
      </c>
      <c r="H55" t="s">
        <v>16</v>
      </c>
    </row>
    <row r="56" spans="1:8" x14ac:dyDescent="0.35">
      <c r="A56" t="s">
        <v>105</v>
      </c>
      <c r="B56">
        <v>4.41E-2</v>
      </c>
      <c r="C56">
        <v>0.42</v>
      </c>
      <c r="D56" t="s">
        <v>52</v>
      </c>
      <c r="E56" t="s">
        <v>53</v>
      </c>
      <c r="F56" s="13">
        <v>2.222222222222222E-2</v>
      </c>
      <c r="G56" s="13">
        <v>2.222222222222222E-2</v>
      </c>
      <c r="H56" t="s">
        <v>18</v>
      </c>
    </row>
    <row r="57" spans="1:8" x14ac:dyDescent="0.35">
      <c r="A57" t="s">
        <v>33</v>
      </c>
      <c r="B57">
        <v>4.2500000000000003E-2</v>
      </c>
      <c r="C57">
        <v>0.08</v>
      </c>
      <c r="D57" t="s">
        <v>24</v>
      </c>
      <c r="E57" t="s">
        <v>53</v>
      </c>
      <c r="F57" s="13">
        <v>0.11691652407865299</v>
      </c>
      <c r="G57" s="13">
        <v>0.1483669099563138</v>
      </c>
      <c r="H57" t="s">
        <v>18</v>
      </c>
    </row>
    <row r="58" spans="1:8" x14ac:dyDescent="0.35">
      <c r="A58" t="s">
        <v>102</v>
      </c>
      <c r="B58">
        <v>4.2099999999999999E-2</v>
      </c>
      <c r="C58">
        <v>0.37</v>
      </c>
      <c r="D58" t="s">
        <v>52</v>
      </c>
      <c r="E58" t="s">
        <v>53</v>
      </c>
      <c r="F58" s="13">
        <v>-6.2857142857142834E-2</v>
      </c>
      <c r="G58" s="13">
        <v>8.5714285714285996E-3</v>
      </c>
      <c r="H58" t="s">
        <v>18</v>
      </c>
    </row>
    <row r="59" spans="1:8" x14ac:dyDescent="0.35">
      <c r="A59" t="s">
        <v>99</v>
      </c>
      <c r="B59">
        <v>4.1399999999999999E-2</v>
      </c>
      <c r="C59">
        <v>0.65</v>
      </c>
      <c r="D59" t="s">
        <v>52</v>
      </c>
      <c r="E59" t="s">
        <v>100</v>
      </c>
      <c r="F59" s="13">
        <v>-0.10384569228922989</v>
      </c>
      <c r="G59" s="13">
        <v>1.538461538461537E-2</v>
      </c>
      <c r="H59" t="s">
        <v>16</v>
      </c>
    </row>
  </sheetData>
  <sortState xmlns:xlrd2="http://schemas.microsoft.com/office/spreadsheetml/2017/richdata2" ref="A45:H59">
    <sortCondition descending="1" ref="B45:B59"/>
  </sortState>
  <mergeCells count="4">
    <mergeCell ref="A2:H2"/>
    <mergeCell ref="A14:H14"/>
    <mergeCell ref="A27:H27"/>
    <mergeCell ref="A44:H44"/>
  </mergeCells>
  <conditionalFormatting sqref="A1:A2">
    <cfRule type="duplicateValues" dxfId="9" priority="20"/>
  </conditionalFormatting>
  <conditionalFormatting sqref="A1:A1048576">
    <cfRule type="duplicateValues" dxfId="8" priority="16"/>
  </conditionalFormatting>
  <conditionalFormatting sqref="A14">
    <cfRule type="duplicateValues" dxfId="7" priority="13"/>
  </conditionalFormatting>
  <conditionalFormatting sqref="A27">
    <cfRule type="duplicateValues" dxfId="6" priority="10"/>
  </conditionalFormatting>
  <conditionalFormatting sqref="A44">
    <cfRule type="duplicateValues" dxfId="5" priority="6"/>
  </conditionalFormatting>
  <conditionalFormatting sqref="A2:H58">
    <cfRule type="cellIs" dxfId="4" priority="45" operator="equal">
      <formula>"Keep Position"</formula>
    </cfRule>
  </conditionalFormatting>
  <conditionalFormatting sqref="F1:F1048576">
    <cfRule type="cellIs" dxfId="3" priority="26" operator="lessThan">
      <formula>0</formula>
    </cfRule>
  </conditionalFormatting>
  <conditionalFormatting sqref="H1:H1048576">
    <cfRule type="cellIs" dxfId="2" priority="2" operator="equal">
      <formula>"Stop Loss"</formula>
    </cfRule>
    <cfRule type="cellIs" dxfId="1" priority="3" operator="equal">
      <formula>"Take Profit"</formula>
    </cfRule>
  </conditionalFormatting>
  <conditionalFormatting sqref="H59">
    <cfRule type="cellIs" dxfId="0" priority="1" operator="equal">
      <formula>"Keep Position"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Daily_Returns</vt:lpstr>
      <vt:lpstr>Trades_Log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Uyen</cp:lastModifiedBy>
  <dcterms:created xsi:type="dcterms:W3CDTF">2026-02-27T07:43:10Z</dcterms:created>
  <dcterms:modified xsi:type="dcterms:W3CDTF">2026-03-11T06:46:59Z</dcterms:modified>
</cp:coreProperties>
</file>