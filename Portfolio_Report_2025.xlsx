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2DE61FD9-184F-43FB-9F56-C5257163D2D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1" r:id="rId1"/>
    <sheet name="Daily_Returns" sheetId="2" r:id="rId2"/>
    <sheet name="Trades_Log" sheetId="3" r:id="rId3"/>
  </sheets>
  <definedNames>
    <definedName name="_xlnm._FilterDatabase" localSheetId="2" hidden="1">Trades_Log!$A$33:$H$47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5" i="1"/>
  <c r="E6" i="1"/>
  <c r="E7" i="1"/>
  <c r="D8" i="1"/>
  <c r="D6" i="1"/>
  <c r="D5" i="1"/>
  <c r="C8" i="1"/>
  <c r="C7" i="1"/>
  <c r="C6" i="1"/>
  <c r="C5" i="1"/>
</calcChain>
</file>

<file path=xl/sharedStrings.xml><?xml version="1.0" encoding="utf-8"?>
<sst xmlns="http://schemas.openxmlformats.org/spreadsheetml/2006/main" count="254" uniqueCount="103">
  <si>
    <t>Metric</t>
  </si>
  <si>
    <t>2025Q1</t>
  </si>
  <si>
    <t>Initial Capital</t>
  </si>
  <si>
    <t>Final NAV</t>
  </si>
  <si>
    <t>Profit/Loss</t>
  </si>
  <si>
    <t>Max Drawdown (%)</t>
  </si>
  <si>
    <t>Max Loss (%)</t>
  </si>
  <si>
    <t>Win Rate (%)</t>
  </si>
  <si>
    <t>Date</t>
  </si>
  <si>
    <t>NAV</t>
  </si>
  <si>
    <t>Symbol</t>
  </si>
  <si>
    <t>Weight</t>
  </si>
  <si>
    <t>Beta</t>
  </si>
  <si>
    <t>Entry_Date</t>
  </si>
  <si>
    <t>Exit_Date</t>
  </si>
  <si>
    <t>Return_Pct</t>
  </si>
  <si>
    <t>Highest_Return_Pct</t>
  </si>
  <si>
    <t>Exit_Reason</t>
  </si>
  <si>
    <t>CSV</t>
  </si>
  <si>
    <t>2025-01-02</t>
  </si>
  <si>
    <t>2025-03-21</t>
  </si>
  <si>
    <t>Stop Loss</t>
  </si>
  <si>
    <t>Take Profit</t>
  </si>
  <si>
    <t>2025-03-31</t>
  </si>
  <si>
    <t>Keep Position</t>
  </si>
  <si>
    <t>ICN</t>
  </si>
  <si>
    <t>2025-02-06</t>
  </si>
  <si>
    <t>LPB</t>
  </si>
  <si>
    <t>2025-02-13</t>
  </si>
  <si>
    <t>PPT</t>
  </si>
  <si>
    <t>PVI</t>
  </si>
  <si>
    <t>TRC</t>
  </si>
  <si>
    <t>2025-01-20</t>
  </si>
  <si>
    <t>2025-03-19</t>
  </si>
  <si>
    <t>TOS</t>
  </si>
  <si>
    <t>2025Q2</t>
  </si>
  <si>
    <t>BCE</t>
  </si>
  <si>
    <t>2025-06-30</t>
  </si>
  <si>
    <t>D2D</t>
  </si>
  <si>
    <t>GEE</t>
  </si>
  <si>
    <t>VHM</t>
  </si>
  <si>
    <t>VIC</t>
  </si>
  <si>
    <t>VND</t>
  </si>
  <si>
    <t>Q2/2025</t>
  </si>
  <si>
    <t>Q1/2025</t>
  </si>
  <si>
    <t>2025Q3</t>
  </si>
  <si>
    <t>Q3/2025</t>
  </si>
  <si>
    <t>2025-07-01</t>
  </si>
  <si>
    <t>2025-09-30</t>
  </si>
  <si>
    <t>2025-07-29</t>
  </si>
  <si>
    <t>GEX</t>
  </si>
  <si>
    <t>NVL</t>
  </si>
  <si>
    <t>PDB</t>
  </si>
  <si>
    <t>STB</t>
  </si>
  <si>
    <t>TCB</t>
  </si>
  <si>
    <t>Return at the end (%)</t>
  </si>
  <si>
    <t>2025Q4</t>
  </si>
  <si>
    <t>2025-10-01</t>
  </si>
  <si>
    <t>2025-12-31</t>
  </si>
  <si>
    <t>ICT</t>
  </si>
  <si>
    <t>NAF</t>
  </si>
  <si>
    <t>NNC</t>
  </si>
  <si>
    <t>2025-10-30</t>
  </si>
  <si>
    <t>VIX</t>
  </si>
  <si>
    <t>2025-10-23</t>
  </si>
  <si>
    <t>VRE</t>
  </si>
  <si>
    <t>2025-10-16</t>
  </si>
  <si>
    <t>Q4/2025</t>
  </si>
  <si>
    <t>BMP</t>
  </si>
  <si>
    <t>2025-03-25</t>
  </si>
  <si>
    <t>DHT</t>
  </si>
  <si>
    <t>SJS</t>
  </si>
  <si>
    <t>2025-01-13</t>
  </si>
  <si>
    <t>2025-01-22</t>
  </si>
  <si>
    <t>FPT</t>
  </si>
  <si>
    <t>VTP</t>
  </si>
  <si>
    <t>DP3</t>
  </si>
  <si>
    <t>MBB</t>
  </si>
  <si>
    <t>VCG</t>
  </si>
  <si>
    <t>2025-04-01</t>
  </si>
  <si>
    <t>HHS</t>
  </si>
  <si>
    <t>2025-07-31</t>
  </si>
  <si>
    <t>2025-07-25</t>
  </si>
  <si>
    <t>BIC</t>
  </si>
  <si>
    <t>2025-10-20</t>
  </si>
  <si>
    <t>2025-10-27</t>
  </si>
  <si>
    <t>SJD</t>
  </si>
  <si>
    <t>2025-04-18</t>
  </si>
  <si>
    <t>HTI</t>
  </si>
  <si>
    <t>2025-04-08</t>
  </si>
  <si>
    <t>MSH</t>
  </si>
  <si>
    <t>SGT</t>
  </si>
  <si>
    <t>2025-04-09</t>
  </si>
  <si>
    <t>2025-05-08</t>
  </si>
  <si>
    <t>2025-04-04</t>
  </si>
  <si>
    <t>2025-07-17</t>
  </si>
  <si>
    <t>2025-07-22</t>
  </si>
  <si>
    <t>2025-07-18</t>
  </si>
  <si>
    <t>DTP</t>
  </si>
  <si>
    <t>2025-11-07</t>
  </si>
  <si>
    <t>2025-12-15</t>
  </si>
  <si>
    <t>2025-12-23</t>
  </si>
  <si>
    <t>2025-10-13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</si>
</sst>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0" fontId="0" fillId="0" borderId="0" xfId="2" applyNumberFormat="1" applyFont="1"/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10" fontId="1" fillId="0" borderId="1" xfId="2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0" fontId="0" fillId="0" borderId="1" xfId="2" applyNumberFormat="1" applyFont="1" applyBorder="1"/>
    <xf numFmtId="0" fontId="3" fillId="0" borderId="0" xfId="0" applyFont="1"/>
    <xf numFmtId="10" fontId="3" fillId="0" borderId="0" xfId="2" applyNumberFormat="1" applyFont="1"/>
    <xf numFmtId="14" fontId="0" fillId="2" borderId="0" xfId="0" applyNumberFormat="1" applyFill="1"/>
    <xf numFmtId="164" fontId="0" fillId="2" borderId="0" xfId="1" applyNumberFormat="1" applyFont="1" applyFill="1"/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 applyFont="1"/>
    <xf numFmtId="10" fontId="2" fillId="0" borderId="0" xfId="2" applyNumberFormat="1" applyFont="1"/>
    <xf numFmtId="0" fontId="4" fillId="0" borderId="0" xfId="0" applyFont="1"/>
    <xf numFmtId="10" fontId="5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4">
    <dxf>
      <fill>
        <patternFill>
          <bgColor theme="5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Daily_Returns!$B$1</c:f>
              <c:strCache>
                <c:ptCount val="1"/>
                <c:pt idx="0">
                  <c:v> NAV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20B-4F1B-859D-DEEA608BB3DE}"/>
              </c:ext>
            </c:extLst>
          </c:dPt>
          <c:dPt>
            <c:idx val="21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A35-46BB-9244-D66E3481FCE6}"/>
              </c:ext>
            </c:extLst>
          </c:dPt>
          <c:dPt>
            <c:idx val="57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20B-4F1B-859D-DEEA608BB3DE}"/>
              </c:ext>
            </c:extLst>
          </c:dPt>
          <c:dPt>
            <c:idx val="58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20B-4F1B-859D-DEEA608BB3DE}"/>
              </c:ext>
            </c:extLst>
          </c:dPt>
          <c:dPt>
            <c:idx val="11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20B-4F1B-859D-DEEA608BB3DE}"/>
              </c:ext>
            </c:extLst>
          </c:dPt>
          <c:dPt>
            <c:idx val="118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F307-4851-B3BE-845F3F42A3D3}"/>
              </c:ext>
            </c:extLst>
          </c:dPt>
          <c:dPt>
            <c:idx val="175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20B-4F1B-859D-DEEA608BB3DE}"/>
              </c:ext>
            </c:extLst>
          </c:dPt>
          <c:dPt>
            <c:idx val="241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20B-4F1B-859D-DEEA608BB3DE}"/>
              </c:ext>
            </c:extLst>
          </c:dPt>
          <c:cat>
            <c:numRef>
              <c:f>Daily_Returns!$A$2:$A$243</c:f>
              <c:numCache>
                <c:formatCode>m/d/yyyy</c:formatCode>
                <c:ptCount val="24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45691</c:v>
                </c:pt>
                <c:pt idx="18">
                  <c:v>45692</c:v>
                </c:pt>
                <c:pt idx="19">
                  <c:v>45693</c:v>
                </c:pt>
                <c:pt idx="20">
                  <c:v>45694</c:v>
                </c:pt>
                <c:pt idx="21">
                  <c:v>45695</c:v>
                </c:pt>
                <c:pt idx="22">
                  <c:v>45698</c:v>
                </c:pt>
                <c:pt idx="23">
                  <c:v>45699</c:v>
                </c:pt>
                <c:pt idx="24">
                  <c:v>45700</c:v>
                </c:pt>
                <c:pt idx="25">
                  <c:v>45701</c:v>
                </c:pt>
                <c:pt idx="26">
                  <c:v>45702</c:v>
                </c:pt>
                <c:pt idx="27">
                  <c:v>45705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45712</c:v>
                </c:pt>
                <c:pt idx="33">
                  <c:v>45713</c:v>
                </c:pt>
                <c:pt idx="34">
                  <c:v>45714</c:v>
                </c:pt>
                <c:pt idx="35">
                  <c:v>45715</c:v>
                </c:pt>
                <c:pt idx="36">
                  <c:v>45716</c:v>
                </c:pt>
                <c:pt idx="37">
                  <c:v>45719</c:v>
                </c:pt>
                <c:pt idx="38">
                  <c:v>45720</c:v>
                </c:pt>
                <c:pt idx="39">
                  <c:v>45721</c:v>
                </c:pt>
                <c:pt idx="40">
                  <c:v>45722</c:v>
                </c:pt>
                <c:pt idx="41">
                  <c:v>45723</c:v>
                </c:pt>
                <c:pt idx="42">
                  <c:v>45726</c:v>
                </c:pt>
                <c:pt idx="43">
                  <c:v>45727</c:v>
                </c:pt>
                <c:pt idx="44">
                  <c:v>45728</c:v>
                </c:pt>
                <c:pt idx="45">
                  <c:v>45729</c:v>
                </c:pt>
                <c:pt idx="46">
                  <c:v>45730</c:v>
                </c:pt>
                <c:pt idx="47">
                  <c:v>45733</c:v>
                </c:pt>
                <c:pt idx="48">
                  <c:v>45734</c:v>
                </c:pt>
                <c:pt idx="49">
                  <c:v>45735</c:v>
                </c:pt>
                <c:pt idx="50">
                  <c:v>45736</c:v>
                </c:pt>
                <c:pt idx="51">
                  <c:v>45737</c:v>
                </c:pt>
                <c:pt idx="52">
                  <c:v>45740</c:v>
                </c:pt>
                <c:pt idx="53">
                  <c:v>45741</c:v>
                </c:pt>
                <c:pt idx="54">
                  <c:v>45742</c:v>
                </c:pt>
                <c:pt idx="55">
                  <c:v>45743</c:v>
                </c:pt>
                <c:pt idx="56">
                  <c:v>45744</c:v>
                </c:pt>
                <c:pt idx="57">
                  <c:v>45747</c:v>
                </c:pt>
                <c:pt idx="58">
                  <c:v>45748</c:v>
                </c:pt>
                <c:pt idx="59">
                  <c:v>45749</c:v>
                </c:pt>
                <c:pt idx="60">
                  <c:v>45750</c:v>
                </c:pt>
                <c:pt idx="61">
                  <c:v>45751</c:v>
                </c:pt>
                <c:pt idx="62">
                  <c:v>45755</c:v>
                </c:pt>
                <c:pt idx="63">
                  <c:v>45756</c:v>
                </c:pt>
                <c:pt idx="64">
                  <c:v>45757</c:v>
                </c:pt>
                <c:pt idx="65">
                  <c:v>45758</c:v>
                </c:pt>
                <c:pt idx="66">
                  <c:v>45761</c:v>
                </c:pt>
                <c:pt idx="67">
                  <c:v>45762</c:v>
                </c:pt>
                <c:pt idx="68">
                  <c:v>45763</c:v>
                </c:pt>
                <c:pt idx="69">
                  <c:v>45764</c:v>
                </c:pt>
                <c:pt idx="70">
                  <c:v>45765</c:v>
                </c:pt>
                <c:pt idx="71">
                  <c:v>45768</c:v>
                </c:pt>
                <c:pt idx="72">
                  <c:v>45769</c:v>
                </c:pt>
                <c:pt idx="73">
                  <c:v>45770</c:v>
                </c:pt>
                <c:pt idx="74">
                  <c:v>45771</c:v>
                </c:pt>
                <c:pt idx="75">
                  <c:v>45772</c:v>
                </c:pt>
                <c:pt idx="76">
                  <c:v>45775</c:v>
                </c:pt>
                <c:pt idx="77">
                  <c:v>45776</c:v>
                </c:pt>
                <c:pt idx="78">
                  <c:v>45782</c:v>
                </c:pt>
                <c:pt idx="79">
                  <c:v>45783</c:v>
                </c:pt>
                <c:pt idx="80">
                  <c:v>45784</c:v>
                </c:pt>
                <c:pt idx="81">
                  <c:v>45785</c:v>
                </c:pt>
                <c:pt idx="82">
                  <c:v>45786</c:v>
                </c:pt>
                <c:pt idx="83">
                  <c:v>45789</c:v>
                </c:pt>
                <c:pt idx="84">
                  <c:v>45790</c:v>
                </c:pt>
                <c:pt idx="85">
                  <c:v>45791</c:v>
                </c:pt>
                <c:pt idx="86">
                  <c:v>45792</c:v>
                </c:pt>
                <c:pt idx="87">
                  <c:v>45793</c:v>
                </c:pt>
                <c:pt idx="88">
                  <c:v>45796</c:v>
                </c:pt>
                <c:pt idx="89">
                  <c:v>45797</c:v>
                </c:pt>
                <c:pt idx="90">
                  <c:v>45798</c:v>
                </c:pt>
                <c:pt idx="91">
                  <c:v>45799</c:v>
                </c:pt>
                <c:pt idx="92">
                  <c:v>45800</c:v>
                </c:pt>
                <c:pt idx="93">
                  <c:v>45803</c:v>
                </c:pt>
                <c:pt idx="94">
                  <c:v>45804</c:v>
                </c:pt>
                <c:pt idx="95">
                  <c:v>45805</c:v>
                </c:pt>
                <c:pt idx="96">
                  <c:v>45806</c:v>
                </c:pt>
                <c:pt idx="97">
                  <c:v>45807</c:v>
                </c:pt>
                <c:pt idx="98">
                  <c:v>45810</c:v>
                </c:pt>
                <c:pt idx="99">
                  <c:v>45811</c:v>
                </c:pt>
                <c:pt idx="100">
                  <c:v>45812</c:v>
                </c:pt>
                <c:pt idx="101">
                  <c:v>45813</c:v>
                </c:pt>
                <c:pt idx="102">
                  <c:v>45814</c:v>
                </c:pt>
                <c:pt idx="103">
                  <c:v>45817</c:v>
                </c:pt>
                <c:pt idx="104">
                  <c:v>45818</c:v>
                </c:pt>
                <c:pt idx="105">
                  <c:v>45819</c:v>
                </c:pt>
                <c:pt idx="106">
                  <c:v>45820</c:v>
                </c:pt>
                <c:pt idx="107">
                  <c:v>45821</c:v>
                </c:pt>
                <c:pt idx="108">
                  <c:v>45824</c:v>
                </c:pt>
                <c:pt idx="109">
                  <c:v>45825</c:v>
                </c:pt>
                <c:pt idx="110">
                  <c:v>45826</c:v>
                </c:pt>
                <c:pt idx="111">
                  <c:v>45827</c:v>
                </c:pt>
                <c:pt idx="112">
                  <c:v>45828</c:v>
                </c:pt>
                <c:pt idx="113">
                  <c:v>45831</c:v>
                </c:pt>
                <c:pt idx="114">
                  <c:v>45832</c:v>
                </c:pt>
                <c:pt idx="115">
                  <c:v>45833</c:v>
                </c:pt>
                <c:pt idx="116">
                  <c:v>45834</c:v>
                </c:pt>
                <c:pt idx="117">
                  <c:v>45835</c:v>
                </c:pt>
                <c:pt idx="118">
                  <c:v>45838</c:v>
                </c:pt>
                <c:pt idx="119">
                  <c:v>45839</c:v>
                </c:pt>
                <c:pt idx="120">
                  <c:v>45840</c:v>
                </c:pt>
                <c:pt idx="121">
                  <c:v>45841</c:v>
                </c:pt>
                <c:pt idx="122">
                  <c:v>45842</c:v>
                </c:pt>
                <c:pt idx="123">
                  <c:v>45845</c:v>
                </c:pt>
                <c:pt idx="124">
                  <c:v>45846</c:v>
                </c:pt>
                <c:pt idx="125">
                  <c:v>45847</c:v>
                </c:pt>
                <c:pt idx="126">
                  <c:v>45848</c:v>
                </c:pt>
                <c:pt idx="127">
                  <c:v>45849</c:v>
                </c:pt>
                <c:pt idx="128">
                  <c:v>45852</c:v>
                </c:pt>
                <c:pt idx="129">
                  <c:v>45853</c:v>
                </c:pt>
                <c:pt idx="130">
                  <c:v>45854</c:v>
                </c:pt>
                <c:pt idx="131">
                  <c:v>45855</c:v>
                </c:pt>
                <c:pt idx="132">
                  <c:v>45856</c:v>
                </c:pt>
                <c:pt idx="133">
                  <c:v>45859</c:v>
                </c:pt>
                <c:pt idx="134">
                  <c:v>45860</c:v>
                </c:pt>
                <c:pt idx="135">
                  <c:v>45861</c:v>
                </c:pt>
                <c:pt idx="136">
                  <c:v>45862</c:v>
                </c:pt>
                <c:pt idx="137">
                  <c:v>45863</c:v>
                </c:pt>
                <c:pt idx="138">
                  <c:v>45866</c:v>
                </c:pt>
                <c:pt idx="139">
                  <c:v>45867</c:v>
                </c:pt>
                <c:pt idx="140">
                  <c:v>45868</c:v>
                </c:pt>
                <c:pt idx="141">
                  <c:v>45869</c:v>
                </c:pt>
                <c:pt idx="142">
                  <c:v>45870</c:v>
                </c:pt>
                <c:pt idx="143">
                  <c:v>45873</c:v>
                </c:pt>
                <c:pt idx="144">
                  <c:v>45874</c:v>
                </c:pt>
                <c:pt idx="145">
                  <c:v>45875</c:v>
                </c:pt>
                <c:pt idx="146">
                  <c:v>45876</c:v>
                </c:pt>
                <c:pt idx="147">
                  <c:v>45877</c:v>
                </c:pt>
                <c:pt idx="148">
                  <c:v>45880</c:v>
                </c:pt>
                <c:pt idx="149">
                  <c:v>45881</c:v>
                </c:pt>
                <c:pt idx="150">
                  <c:v>45882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45903</c:v>
                </c:pt>
                <c:pt idx="164">
                  <c:v>45904</c:v>
                </c:pt>
                <c:pt idx="165">
                  <c:v>45905</c:v>
                </c:pt>
                <c:pt idx="166">
                  <c:v>45908</c:v>
                </c:pt>
                <c:pt idx="167">
                  <c:v>45909</c:v>
                </c:pt>
                <c:pt idx="168">
                  <c:v>45910</c:v>
                </c:pt>
                <c:pt idx="169">
                  <c:v>45911</c:v>
                </c:pt>
                <c:pt idx="170">
                  <c:v>45912</c:v>
                </c:pt>
                <c:pt idx="171">
                  <c:v>45915</c:v>
                </c:pt>
                <c:pt idx="172">
                  <c:v>45916</c:v>
                </c:pt>
                <c:pt idx="173">
                  <c:v>45917</c:v>
                </c:pt>
                <c:pt idx="174">
                  <c:v>45918</c:v>
                </c:pt>
                <c:pt idx="175">
                  <c:v>45919</c:v>
                </c:pt>
                <c:pt idx="176">
                  <c:v>45922</c:v>
                </c:pt>
                <c:pt idx="177">
                  <c:v>45923</c:v>
                </c:pt>
                <c:pt idx="178">
                  <c:v>45924</c:v>
                </c:pt>
                <c:pt idx="179">
                  <c:v>45925</c:v>
                </c:pt>
                <c:pt idx="180">
                  <c:v>45926</c:v>
                </c:pt>
                <c:pt idx="181">
                  <c:v>45929</c:v>
                </c:pt>
                <c:pt idx="182">
                  <c:v>45930</c:v>
                </c:pt>
                <c:pt idx="183">
                  <c:v>45931</c:v>
                </c:pt>
                <c:pt idx="184">
                  <c:v>45932</c:v>
                </c:pt>
                <c:pt idx="185">
                  <c:v>45933</c:v>
                </c:pt>
                <c:pt idx="186">
                  <c:v>45936</c:v>
                </c:pt>
                <c:pt idx="187">
                  <c:v>45937</c:v>
                </c:pt>
                <c:pt idx="188">
                  <c:v>45938</c:v>
                </c:pt>
                <c:pt idx="189">
                  <c:v>45939</c:v>
                </c:pt>
                <c:pt idx="190">
                  <c:v>45940</c:v>
                </c:pt>
                <c:pt idx="191">
                  <c:v>45943</c:v>
                </c:pt>
                <c:pt idx="192">
                  <c:v>45944</c:v>
                </c:pt>
                <c:pt idx="193">
                  <c:v>45945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  <c:pt idx="213">
                  <c:v>45973</c:v>
                </c:pt>
                <c:pt idx="214">
                  <c:v>45974</c:v>
                </c:pt>
                <c:pt idx="215">
                  <c:v>45975</c:v>
                </c:pt>
                <c:pt idx="216">
                  <c:v>45978</c:v>
                </c:pt>
                <c:pt idx="217">
                  <c:v>45979</c:v>
                </c:pt>
                <c:pt idx="218">
                  <c:v>45980</c:v>
                </c:pt>
                <c:pt idx="219">
                  <c:v>45981</c:v>
                </c:pt>
                <c:pt idx="220">
                  <c:v>45982</c:v>
                </c:pt>
                <c:pt idx="221">
                  <c:v>45985</c:v>
                </c:pt>
                <c:pt idx="222">
                  <c:v>45986</c:v>
                </c:pt>
                <c:pt idx="223">
                  <c:v>45987</c:v>
                </c:pt>
                <c:pt idx="224">
                  <c:v>45988</c:v>
                </c:pt>
                <c:pt idx="225">
                  <c:v>45989</c:v>
                </c:pt>
                <c:pt idx="226">
                  <c:v>45992</c:v>
                </c:pt>
                <c:pt idx="227">
                  <c:v>45993</c:v>
                </c:pt>
                <c:pt idx="228">
                  <c:v>45994</c:v>
                </c:pt>
                <c:pt idx="229">
                  <c:v>45995</c:v>
                </c:pt>
                <c:pt idx="230">
                  <c:v>45996</c:v>
                </c:pt>
                <c:pt idx="231">
                  <c:v>45999</c:v>
                </c:pt>
                <c:pt idx="232">
                  <c:v>46000</c:v>
                </c:pt>
                <c:pt idx="233">
                  <c:v>46001</c:v>
                </c:pt>
                <c:pt idx="234">
                  <c:v>46002</c:v>
                </c:pt>
                <c:pt idx="235">
                  <c:v>46003</c:v>
                </c:pt>
                <c:pt idx="236">
                  <c:v>46006</c:v>
                </c:pt>
                <c:pt idx="237">
                  <c:v>46007</c:v>
                </c:pt>
                <c:pt idx="238">
                  <c:v>46008</c:v>
                </c:pt>
                <c:pt idx="239">
                  <c:v>46009</c:v>
                </c:pt>
                <c:pt idx="240">
                  <c:v>46010</c:v>
                </c:pt>
                <c:pt idx="241">
                  <c:v>46013</c:v>
                </c:pt>
              </c:numCache>
            </c:numRef>
          </c:cat>
          <c:val>
            <c:numRef>
              <c:f>Daily_Returns!$B$2:$B$243</c:f>
              <c:numCache>
                <c:formatCode>_(* #,##0_);_(* \(#,##0\);_(* "-"??_);_(@_)</c:formatCode>
                <c:ptCount val="242"/>
                <c:pt idx="0">
                  <c:v>1000000000</c:v>
                </c:pt>
                <c:pt idx="1">
                  <c:v>998600668.07081616</c:v>
                </c:pt>
                <c:pt idx="2">
                  <c:v>998055621.52676034</c:v>
                </c:pt>
                <c:pt idx="3">
                  <c:v>995475590.26253188</c:v>
                </c:pt>
                <c:pt idx="4">
                  <c:v>1002334599.973954</c:v>
                </c:pt>
                <c:pt idx="5">
                  <c:v>1000749905.175885</c:v>
                </c:pt>
                <c:pt idx="6">
                  <c:v>994173414.61030769</c:v>
                </c:pt>
                <c:pt idx="7">
                  <c:v>998316619.94679093</c:v>
                </c:pt>
                <c:pt idx="8">
                  <c:v>993867133.13209808</c:v>
                </c:pt>
                <c:pt idx="9">
                  <c:v>996709593.97819817</c:v>
                </c:pt>
                <c:pt idx="10">
                  <c:v>1005543468.220476</c:v>
                </c:pt>
                <c:pt idx="11">
                  <c:v>1019363347.0235291</c:v>
                </c:pt>
                <c:pt idx="12">
                  <c:v>1022422783.110443</c:v>
                </c:pt>
                <c:pt idx="13">
                  <c:v>1021566995.454397</c:v>
                </c:pt>
                <c:pt idx="14">
                  <c:v>1042367166.9451849</c:v>
                </c:pt>
                <c:pt idx="15">
                  <c:v>1056042184.733874</c:v>
                </c:pt>
                <c:pt idx="16">
                  <c:v>1054869847.472608</c:v>
                </c:pt>
                <c:pt idx="17">
                  <c:v>1047257337.680063</c:v>
                </c:pt>
                <c:pt idx="18">
                  <c:v>1049707988.27464</c:v>
                </c:pt>
                <c:pt idx="19">
                  <c:v>1079304839.383554</c:v>
                </c:pt>
                <c:pt idx="20">
                  <c:v>1105343613.3167889</c:v>
                </c:pt>
                <c:pt idx="21">
                  <c:v>1100489977.4526379</c:v>
                </c:pt>
                <c:pt idx="22">
                  <c:v>1092996925.216418</c:v>
                </c:pt>
                <c:pt idx="23">
                  <c:v>1101118718.8056791</c:v>
                </c:pt>
                <c:pt idx="24">
                  <c:v>1102622776.9071701</c:v>
                </c:pt>
                <c:pt idx="25">
                  <c:v>1103883851.2770519</c:v>
                </c:pt>
                <c:pt idx="26">
                  <c:v>1102481785.4641881</c:v>
                </c:pt>
                <c:pt idx="27">
                  <c:v>1096622303.3183091</c:v>
                </c:pt>
                <c:pt idx="28">
                  <c:v>1099467191.1325171</c:v>
                </c:pt>
                <c:pt idx="29">
                  <c:v>1100112612.967628</c:v>
                </c:pt>
                <c:pt idx="30">
                  <c:v>1101166779.5543809</c:v>
                </c:pt>
                <c:pt idx="31">
                  <c:v>1098115872.059871</c:v>
                </c:pt>
                <c:pt idx="32">
                  <c:v>1094593512.9290619</c:v>
                </c:pt>
                <c:pt idx="33">
                  <c:v>1093132264.2724681</c:v>
                </c:pt>
                <c:pt idx="34">
                  <c:v>1096663245.4937339</c:v>
                </c:pt>
                <c:pt idx="35">
                  <c:v>1097149618.306742</c:v>
                </c:pt>
                <c:pt idx="36">
                  <c:v>1100783187.912981</c:v>
                </c:pt>
                <c:pt idx="37">
                  <c:v>1101757375.229279</c:v>
                </c:pt>
                <c:pt idx="38">
                  <c:v>1100303940.6192019</c:v>
                </c:pt>
                <c:pt idx="39">
                  <c:v>1100019398.079705</c:v>
                </c:pt>
                <c:pt idx="40">
                  <c:v>1102039031.836412</c:v>
                </c:pt>
                <c:pt idx="41">
                  <c:v>1100779970.8969231</c:v>
                </c:pt>
                <c:pt idx="42">
                  <c:v>1097551472.7322221</c:v>
                </c:pt>
                <c:pt idx="43">
                  <c:v>1097451392.0819459</c:v>
                </c:pt>
                <c:pt idx="44">
                  <c:v>1093936367.9780891</c:v>
                </c:pt>
                <c:pt idx="45">
                  <c:v>1090690964.456053</c:v>
                </c:pt>
                <c:pt idx="46">
                  <c:v>1084277261.0236139</c:v>
                </c:pt>
                <c:pt idx="47">
                  <c:v>1083524739.4683509</c:v>
                </c:pt>
                <c:pt idx="48">
                  <c:v>1087821612.3647759</c:v>
                </c:pt>
                <c:pt idx="49">
                  <c:v>1084739945.418761</c:v>
                </c:pt>
                <c:pt idx="50">
                  <c:v>1085132628.970161</c:v>
                </c:pt>
                <c:pt idx="51">
                  <c:v>1085014642.750325</c:v>
                </c:pt>
                <c:pt idx="52">
                  <c:v>1082675594.013804</c:v>
                </c:pt>
                <c:pt idx="53">
                  <c:v>1081089970.1716621</c:v>
                </c:pt>
                <c:pt idx="54">
                  <c:v>1080349888.647579</c:v>
                </c:pt>
                <c:pt idx="55">
                  <c:v>1081362468.312022</c:v>
                </c:pt>
                <c:pt idx="56">
                  <c:v>1079844006.8920791</c:v>
                </c:pt>
                <c:pt idx="57">
                  <c:v>1076846357.505115</c:v>
                </c:pt>
                <c:pt idx="58">
                  <c:v>1076846358</c:v>
                </c:pt>
                <c:pt idx="59">
                  <c:v>1078049622.316035</c:v>
                </c:pt>
                <c:pt idx="60">
                  <c:v>1013839439.948553</c:v>
                </c:pt>
                <c:pt idx="61">
                  <c:v>1023106977.907231</c:v>
                </c:pt>
                <c:pt idx="62">
                  <c:v>975006433.41275418</c:v>
                </c:pt>
                <c:pt idx="63">
                  <c:v>959772206.44920671</c:v>
                </c:pt>
                <c:pt idx="64">
                  <c:v>1002732736.180144</c:v>
                </c:pt>
                <c:pt idx="65">
                  <c:v>1020077316.885334</c:v>
                </c:pt>
                <c:pt idx="66">
                  <c:v>1037545551.831503</c:v>
                </c:pt>
                <c:pt idx="67">
                  <c:v>1043435203.9423079</c:v>
                </c:pt>
                <c:pt idx="68">
                  <c:v>1034639243.552212</c:v>
                </c:pt>
                <c:pt idx="69">
                  <c:v>1051405933.082828</c:v>
                </c:pt>
                <c:pt idx="70">
                  <c:v>1045108401.464281</c:v>
                </c:pt>
                <c:pt idx="71">
                  <c:v>1029299571.876092</c:v>
                </c:pt>
                <c:pt idx="72">
                  <c:v>1018067487.290554</c:v>
                </c:pt>
                <c:pt idx="73">
                  <c:v>1019491423.381215</c:v>
                </c:pt>
                <c:pt idx="74">
                  <c:v>1029223184.5134929</c:v>
                </c:pt>
                <c:pt idx="75">
                  <c:v>1047679548.147962</c:v>
                </c:pt>
                <c:pt idx="76">
                  <c:v>1049583581.594051</c:v>
                </c:pt>
                <c:pt idx="77">
                  <c:v>1049871595.563898</c:v>
                </c:pt>
                <c:pt idx="78">
                  <c:v>1054527660.108284</c:v>
                </c:pt>
                <c:pt idx="79">
                  <c:v>1058273259.5026931</c:v>
                </c:pt>
                <c:pt idx="80">
                  <c:v>1064666241.793462</c:v>
                </c:pt>
                <c:pt idx="81">
                  <c:v>1078841576.9502859</c:v>
                </c:pt>
                <c:pt idx="82">
                  <c:v>1077111923.371196</c:v>
                </c:pt>
                <c:pt idx="83">
                  <c:v>1079022041.3181379</c:v>
                </c:pt>
                <c:pt idx="84">
                  <c:v>1078923381.542856</c:v>
                </c:pt>
                <c:pt idx="85">
                  <c:v>1077175702.352329</c:v>
                </c:pt>
                <c:pt idx="86">
                  <c:v>1076831926.4139969</c:v>
                </c:pt>
                <c:pt idx="87">
                  <c:v>1077297548.2676239</c:v>
                </c:pt>
                <c:pt idx="88">
                  <c:v>1077713533.5967319</c:v>
                </c:pt>
                <c:pt idx="89">
                  <c:v>1076246341.7391829</c:v>
                </c:pt>
                <c:pt idx="90">
                  <c:v>1075865339.6599791</c:v>
                </c:pt>
                <c:pt idx="91">
                  <c:v>1072678950.291853</c:v>
                </c:pt>
                <c:pt idx="92">
                  <c:v>1072584947.5116709</c:v>
                </c:pt>
                <c:pt idx="93">
                  <c:v>1072952305.119662</c:v>
                </c:pt>
                <c:pt idx="94">
                  <c:v>1074754021.0517681</c:v>
                </c:pt>
                <c:pt idx="95">
                  <c:v>1070837878.134096</c:v>
                </c:pt>
                <c:pt idx="96">
                  <c:v>1067798234.875317</c:v>
                </c:pt>
                <c:pt idx="97">
                  <c:v>1065984701.471513</c:v>
                </c:pt>
                <c:pt idx="98">
                  <c:v>1070693370.5463639</c:v>
                </c:pt>
                <c:pt idx="99">
                  <c:v>1071963322.341098</c:v>
                </c:pt>
                <c:pt idx="100">
                  <c:v>1071620716.2590131</c:v>
                </c:pt>
                <c:pt idx="101">
                  <c:v>1070850428.611529</c:v>
                </c:pt>
                <c:pt idx="102">
                  <c:v>1069526269.684273</c:v>
                </c:pt>
                <c:pt idx="103">
                  <c:v>1068378212.3181731</c:v>
                </c:pt>
                <c:pt idx="104">
                  <c:v>1068076246.5132149</c:v>
                </c:pt>
                <c:pt idx="105">
                  <c:v>1068183528.269647</c:v>
                </c:pt>
                <c:pt idx="106">
                  <c:v>1068828771.683401</c:v>
                </c:pt>
                <c:pt idx="107">
                  <c:v>1067383190.612695</c:v>
                </c:pt>
                <c:pt idx="108">
                  <c:v>1069252677.352326</c:v>
                </c:pt>
                <c:pt idx="109">
                  <c:v>1071040872.0542361</c:v>
                </c:pt>
                <c:pt idx="110">
                  <c:v>1070665937.2047729</c:v>
                </c:pt>
                <c:pt idx="111">
                  <c:v>1071902882.66896</c:v>
                </c:pt>
                <c:pt idx="112">
                  <c:v>1072850255.022171</c:v>
                </c:pt>
                <c:pt idx="113">
                  <c:v>1074780728.8039219</c:v>
                </c:pt>
                <c:pt idx="114">
                  <c:v>1074485433.185441</c:v>
                </c:pt>
                <c:pt idx="115">
                  <c:v>1073470357.820031</c:v>
                </c:pt>
                <c:pt idx="116">
                  <c:v>1074703642.983391</c:v>
                </c:pt>
                <c:pt idx="117">
                  <c:v>1076155045.921783</c:v>
                </c:pt>
                <c:pt idx="118">
                  <c:v>1079416202.73282</c:v>
                </c:pt>
                <c:pt idx="119">
                  <c:v>1079416203</c:v>
                </c:pt>
                <c:pt idx="120">
                  <c:v>1088542125.3328719</c:v>
                </c:pt>
                <c:pt idx="121">
                  <c:v>1088937520.879302</c:v>
                </c:pt>
                <c:pt idx="122">
                  <c:v>1095441881.074528</c:v>
                </c:pt>
                <c:pt idx="123">
                  <c:v>1102257130.5227721</c:v>
                </c:pt>
                <c:pt idx="124">
                  <c:v>1111323703.9474239</c:v>
                </c:pt>
                <c:pt idx="125">
                  <c:v>1117832104.4617729</c:v>
                </c:pt>
                <c:pt idx="126">
                  <c:v>1129109651.661799</c:v>
                </c:pt>
                <c:pt idx="127">
                  <c:v>1133804339.6270499</c:v>
                </c:pt>
                <c:pt idx="128">
                  <c:v>1138506512.377275</c:v>
                </c:pt>
                <c:pt idx="129">
                  <c:v>1140137486.2528999</c:v>
                </c:pt>
                <c:pt idx="130">
                  <c:v>1156825742.0872011</c:v>
                </c:pt>
                <c:pt idx="131">
                  <c:v>1177064097.631695</c:v>
                </c:pt>
                <c:pt idx="132">
                  <c:v>1186508040.554111</c:v>
                </c:pt>
                <c:pt idx="133">
                  <c:v>1194406382.1543691</c:v>
                </c:pt>
                <c:pt idx="134">
                  <c:v>1208657815.3718519</c:v>
                </c:pt>
                <c:pt idx="135">
                  <c:v>1212783114.2286799</c:v>
                </c:pt>
                <c:pt idx="136">
                  <c:v>1211745313.0906241</c:v>
                </c:pt>
                <c:pt idx="137">
                  <c:v>1222370624.5240099</c:v>
                </c:pt>
                <c:pt idx="138">
                  <c:v>1233215123.060179</c:v>
                </c:pt>
                <c:pt idx="139">
                  <c:v>1220359387.694468</c:v>
                </c:pt>
                <c:pt idx="140">
                  <c:v>1223592894.6714859</c:v>
                </c:pt>
                <c:pt idx="141">
                  <c:v>1224476899.2233739</c:v>
                </c:pt>
                <c:pt idx="142">
                  <c:v>1230765799.122575</c:v>
                </c:pt>
                <c:pt idx="143">
                  <c:v>1242546780.653924</c:v>
                </c:pt>
                <c:pt idx="144">
                  <c:v>1246136066.9723821</c:v>
                </c:pt>
                <c:pt idx="145">
                  <c:v>1255241624.257123</c:v>
                </c:pt>
                <c:pt idx="146">
                  <c:v>1256475882.1232381</c:v>
                </c:pt>
                <c:pt idx="147">
                  <c:v>1252829712.9256289</c:v>
                </c:pt>
                <c:pt idx="148">
                  <c:v>1257643094.612165</c:v>
                </c:pt>
                <c:pt idx="149">
                  <c:v>1255278332.0070031</c:v>
                </c:pt>
                <c:pt idx="150">
                  <c:v>1253274094.4802401</c:v>
                </c:pt>
                <c:pt idx="151">
                  <c:v>1258302156.2074289</c:v>
                </c:pt>
                <c:pt idx="152">
                  <c:v>1249543389.114296</c:v>
                </c:pt>
                <c:pt idx="153">
                  <c:v>1249229256.522999</c:v>
                </c:pt>
                <c:pt idx="154">
                  <c:v>1251407291.5826981</c:v>
                </c:pt>
                <c:pt idx="155">
                  <c:v>1255295705.3776319</c:v>
                </c:pt>
                <c:pt idx="156">
                  <c:v>1263978655.545238</c:v>
                </c:pt>
                <c:pt idx="157">
                  <c:v>1251551650.947377</c:v>
                </c:pt>
                <c:pt idx="158">
                  <c:v>1254594145.0392499</c:v>
                </c:pt>
                <c:pt idx="159">
                  <c:v>1256473708.3442819</c:v>
                </c:pt>
                <c:pt idx="160">
                  <c:v>1261490753.2804611</c:v>
                </c:pt>
                <c:pt idx="161">
                  <c:v>1261332884.9792399</c:v>
                </c:pt>
                <c:pt idx="162">
                  <c:v>1262297472.4204559</c:v>
                </c:pt>
                <c:pt idx="163">
                  <c:v>1263175871.91713</c:v>
                </c:pt>
                <c:pt idx="164">
                  <c:v>1264121421.4335711</c:v>
                </c:pt>
                <c:pt idx="165">
                  <c:v>1264539708.015373</c:v>
                </c:pt>
                <c:pt idx="166">
                  <c:v>1261061262.256355</c:v>
                </c:pt>
                <c:pt idx="167">
                  <c:v>1263786480.242409</c:v>
                </c:pt>
                <c:pt idx="168">
                  <c:v>1262305745.5461271</c:v>
                </c:pt>
                <c:pt idx="169">
                  <c:v>1261858915.678906</c:v>
                </c:pt>
                <c:pt idx="170">
                  <c:v>1268082766.572098</c:v>
                </c:pt>
                <c:pt idx="171">
                  <c:v>1267930324.341326</c:v>
                </c:pt>
                <c:pt idx="172">
                  <c:v>1267406645.226259</c:v>
                </c:pt>
                <c:pt idx="173">
                  <c:v>1265008177.7082319</c:v>
                </c:pt>
                <c:pt idx="174">
                  <c:v>1264429369.617831</c:v>
                </c:pt>
                <c:pt idx="175">
                  <c:v>1265823545.6841509</c:v>
                </c:pt>
                <c:pt idx="176">
                  <c:v>1264485172.0260811</c:v>
                </c:pt>
                <c:pt idx="177">
                  <c:v>1268110147.234401</c:v>
                </c:pt>
                <c:pt idx="178">
                  <c:v>1264889446.0505431</c:v>
                </c:pt>
                <c:pt idx="179">
                  <c:v>1262687778.580121</c:v>
                </c:pt>
                <c:pt idx="180">
                  <c:v>1261533926.7459421</c:v>
                </c:pt>
                <c:pt idx="181">
                  <c:v>1259673214.6949601</c:v>
                </c:pt>
                <c:pt idx="182">
                  <c:v>1255631737.6137421</c:v>
                </c:pt>
                <c:pt idx="183">
                  <c:v>1257302109</c:v>
                </c:pt>
                <c:pt idx="184">
                  <c:v>1254372108.6490841</c:v>
                </c:pt>
                <c:pt idx="185">
                  <c:v>1252723089.637372</c:v>
                </c:pt>
                <c:pt idx="186">
                  <c:v>1275821499.94962</c:v>
                </c:pt>
                <c:pt idx="187">
                  <c:v>1278159823.3559091</c:v>
                </c:pt>
                <c:pt idx="188">
                  <c:v>1285343231.680079</c:v>
                </c:pt>
                <c:pt idx="189">
                  <c:v>1290094600.71366</c:v>
                </c:pt>
                <c:pt idx="190">
                  <c:v>1308515870.1773131</c:v>
                </c:pt>
                <c:pt idx="191">
                  <c:v>1327542517.1947429</c:v>
                </c:pt>
                <c:pt idx="192">
                  <c:v>1334839384.2524581</c:v>
                </c:pt>
                <c:pt idx="193">
                  <c:v>1345123148.2246799</c:v>
                </c:pt>
                <c:pt idx="194">
                  <c:v>1342944380.8897319</c:v>
                </c:pt>
                <c:pt idx="195">
                  <c:v>1333504402.568578</c:v>
                </c:pt>
                <c:pt idx="196">
                  <c:v>1313434001.087615</c:v>
                </c:pt>
                <c:pt idx="197">
                  <c:v>1315388730.190989</c:v>
                </c:pt>
                <c:pt idx="198">
                  <c:v>1319227633.604182</c:v>
                </c:pt>
                <c:pt idx="199">
                  <c:v>1317995284.394804</c:v>
                </c:pt>
                <c:pt idx="200">
                  <c:v>1317983273.7327671</c:v>
                </c:pt>
                <c:pt idx="201">
                  <c:v>1319623695.2783</c:v>
                </c:pt>
                <c:pt idx="202">
                  <c:v>1327361823.870255</c:v>
                </c:pt>
                <c:pt idx="203">
                  <c:v>1340489056.3937171</c:v>
                </c:pt>
                <c:pt idx="204">
                  <c:v>1351515001.472399</c:v>
                </c:pt>
                <c:pt idx="205">
                  <c:v>1355269799.732059</c:v>
                </c:pt>
                <c:pt idx="206">
                  <c:v>1358463518.6496251</c:v>
                </c:pt>
                <c:pt idx="207">
                  <c:v>1360832916.8763659</c:v>
                </c:pt>
                <c:pt idx="208">
                  <c:v>1365667390.8177421</c:v>
                </c:pt>
                <c:pt idx="209">
                  <c:v>1369490658.342031</c:v>
                </c:pt>
                <c:pt idx="210">
                  <c:v>1372577593.7902579</c:v>
                </c:pt>
                <c:pt idx="211">
                  <c:v>1369646803.8782251</c:v>
                </c:pt>
                <c:pt idx="212">
                  <c:v>1370713532.2571509</c:v>
                </c:pt>
                <c:pt idx="213">
                  <c:v>1377762246.4415939</c:v>
                </c:pt>
                <c:pt idx="214">
                  <c:v>1377286989.883791</c:v>
                </c:pt>
                <c:pt idx="215">
                  <c:v>1377285642.920681</c:v>
                </c:pt>
                <c:pt idx="216">
                  <c:v>1377034104.905534</c:v>
                </c:pt>
                <c:pt idx="217">
                  <c:v>1377549667.098927</c:v>
                </c:pt>
                <c:pt idx="218">
                  <c:v>1377414197.9339421</c:v>
                </c:pt>
                <c:pt idx="219">
                  <c:v>1382787692.002804</c:v>
                </c:pt>
                <c:pt idx="220">
                  <c:v>1379927808.6893051</c:v>
                </c:pt>
                <c:pt idx="221">
                  <c:v>1382736467.9759991</c:v>
                </c:pt>
                <c:pt idx="222">
                  <c:v>1382177333.5039239</c:v>
                </c:pt>
                <c:pt idx="223">
                  <c:v>1379983244.0099289</c:v>
                </c:pt>
                <c:pt idx="224">
                  <c:v>1377950912.923867</c:v>
                </c:pt>
                <c:pt idx="225">
                  <c:v>1378645777.315691</c:v>
                </c:pt>
                <c:pt idx="226">
                  <c:v>1391487083.0631061</c:v>
                </c:pt>
                <c:pt idx="227">
                  <c:v>1390360093.5331011</c:v>
                </c:pt>
                <c:pt idx="228">
                  <c:v>1389904376.7672369</c:v>
                </c:pt>
                <c:pt idx="229">
                  <c:v>1392921721.781323</c:v>
                </c:pt>
                <c:pt idx="230">
                  <c:v>1392703152.20327</c:v>
                </c:pt>
                <c:pt idx="231">
                  <c:v>1395809851.1609709</c:v>
                </c:pt>
                <c:pt idx="232">
                  <c:v>1398362282.109952</c:v>
                </c:pt>
                <c:pt idx="233">
                  <c:v>1398652320.8978181</c:v>
                </c:pt>
                <c:pt idx="234">
                  <c:v>1399814219.0152609</c:v>
                </c:pt>
                <c:pt idx="235">
                  <c:v>1403415840.215934</c:v>
                </c:pt>
                <c:pt idx="236">
                  <c:v>1413357486.7746601</c:v>
                </c:pt>
                <c:pt idx="237">
                  <c:v>1415893481.9166651</c:v>
                </c:pt>
                <c:pt idx="238">
                  <c:v>1420909586.107621</c:v>
                </c:pt>
                <c:pt idx="239">
                  <c:v>1419873942.6379001</c:v>
                </c:pt>
                <c:pt idx="240">
                  <c:v>1421240055.2686329</c:v>
                </c:pt>
                <c:pt idx="241">
                  <c:v>1422865180.859751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B-4F1B-859D-DEEA608BB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36879"/>
        <c:axId val="1550887375"/>
      </c:lineChart>
      <c:dateAx>
        <c:axId val="15497368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87375"/>
        <c:crosses val="autoZero"/>
        <c:auto val="1"/>
        <c:lblOffset val="100"/>
        <c:baseTimeUnit val="days"/>
      </c:dateAx>
      <c:valAx>
        <c:axId val="1550887375"/>
        <c:scaling>
          <c:orientation val="minMax"/>
          <c:max val="1500000000"/>
          <c:min val="95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36879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3863215257308917E-2"/>
                <c:y val="0.1790064158307979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197908</xdr:colOff>
      <xdr:row>1</xdr:row>
      <xdr:rowOff>76503</xdr:rowOff>
    </xdr:from>
    <xdr:to>
      <xdr:col>9</xdr:col>
      <xdr:colOff>502708</xdr:colOff>
      <xdr:row>16</xdr:row>
      <xdr:rowOff>57453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4ABED9-22A9-C69A-469E-54A50CAC8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9" sqref="E9"/>
    </sheetView>
  </sheetViews>
  <sheetFormatPr defaultRowHeight="14.5" x14ac:dyDescent="0.35"/>
  <cols>
    <col min="1" max="1" width="19.6328125" customWidth="1"/>
    <col min="2" max="5" width="16.6328125" customWidth="1"/>
  </cols>
  <sheetData>
    <row r="1" spans="1:5" x14ac:dyDescent="0.35">
      <c r="A1" s="1" t="s">
        <v>0</v>
      </c>
      <c r="B1" s="8" t="s">
        <v>1</v>
      </c>
      <c r="C1" s="8" t="s">
        <v>35</v>
      </c>
      <c r="D1" s="8" t="s">
        <v>45</v>
      </c>
      <c r="E1" s="8" t="s">
        <v>56</v>
      </c>
    </row>
    <row r="2" spans="1:5" x14ac:dyDescent="0.35">
      <c r="A2" s="9" t="s">
        <v>2</v>
      </c>
      <c r="B2" s="10">
        <v>1000000000</v>
      </c>
      <c r="C2" s="10">
        <v>1076846358</v>
      </c>
      <c r="D2" s="10">
        <v>1079416203</v>
      </c>
      <c r="E2" s="10">
        <v>1257302109</v>
      </c>
    </row>
    <row r="3" spans="1:5" x14ac:dyDescent="0.35">
      <c r="A3" s="9" t="s">
        <v>3</v>
      </c>
      <c r="B3" s="10">
        <v>1076846357.505115</v>
      </c>
      <c r="C3" s="10">
        <v>1079416202.73282</v>
      </c>
      <c r="D3" s="10">
        <v>1257302108.653841</v>
      </c>
      <c r="E3" s="10">
        <v>1430325355.1635561</v>
      </c>
    </row>
    <row r="4" spans="1:5" x14ac:dyDescent="0.35">
      <c r="A4" s="9" t="s">
        <v>4</v>
      </c>
      <c r="B4" s="10">
        <v>76846357.505114794</v>
      </c>
      <c r="C4" s="10">
        <v>2569844.7328195572</v>
      </c>
      <c r="D4" s="10">
        <v>177885905.65384129</v>
      </c>
      <c r="E4" s="10">
        <v>173023246.16355631</v>
      </c>
    </row>
    <row r="5" spans="1:5" x14ac:dyDescent="0.35">
      <c r="A5" s="9" t="s">
        <v>55</v>
      </c>
      <c r="B5" s="11">
        <v>7.6846357505114801E-2</v>
      </c>
      <c r="C5" s="11">
        <f>23.8645440338626%/100</f>
        <v>2.3864544033862598E-3</v>
      </c>
      <c r="D5" s="11">
        <f>1647.98254055708%/100</f>
        <v>0.164798254055708</v>
      </c>
      <c r="E5" s="11">
        <f>1376.14694928947%/100</f>
        <v>0.13761469492894701</v>
      </c>
    </row>
    <row r="6" spans="1:5" x14ac:dyDescent="0.35">
      <c r="A6" s="9" t="s">
        <v>5</v>
      </c>
      <c r="B6" s="11">
        <v>-2.57813547464779E-2</v>
      </c>
      <c r="C6" s="11">
        <f>-1097.14259361017%/100</f>
        <v>-0.10971425936101702</v>
      </c>
      <c r="D6" s="11">
        <f>-242.746124839182%/100</f>
        <v>-2.4274612483918202E-2</v>
      </c>
      <c r="E6" s="11">
        <f>-235.585471701152%/100</f>
        <v>-2.3558547170115199E-2</v>
      </c>
    </row>
    <row r="7" spans="1:5" x14ac:dyDescent="0.35">
      <c r="A7" s="9" t="s">
        <v>6</v>
      </c>
      <c r="B7" s="11">
        <v>-6.1328668679019203E-3</v>
      </c>
      <c r="C7" s="11">
        <f>-1087.19457219721%/100</f>
        <v>-0.108719457219721</v>
      </c>
      <c r="D7" s="11">
        <v>0</v>
      </c>
      <c r="E7" s="11">
        <f>-36.4194041340623%/100</f>
        <v>-3.64194041340623E-3</v>
      </c>
    </row>
    <row r="8" spans="1:5" x14ac:dyDescent="0.35">
      <c r="A8" s="9" t="s">
        <v>7</v>
      </c>
      <c r="B8" s="11">
        <v>0.5</v>
      </c>
      <c r="C8" s="11">
        <f>3750%/100</f>
        <v>0.375</v>
      </c>
      <c r="D8" s="11">
        <f>9333.33333333333%/100</f>
        <v>0.93333333333333302</v>
      </c>
      <c r="E8" s="11">
        <f>COUNTIF(Trades_Log!F49:F62,"&gt;0")/ROWS(Trades_Log!F49:F62)</f>
        <v>0.7857142857142857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0"/>
  <sheetViews>
    <sheetView zoomScale="95" zoomScaleNormal="95" workbookViewId="0">
      <selection activeCell="K14" sqref="K14"/>
    </sheetView>
  </sheetViews>
  <sheetFormatPr defaultRowHeight="14.5" x14ac:dyDescent="0.35"/>
  <cols>
    <col min="1" max="1" width="23.6328125" style="3" customWidth="1"/>
    <col min="2" max="2" width="23.6328125" style="5" customWidth="1"/>
  </cols>
  <sheetData>
    <row r="1" spans="1:2" x14ac:dyDescent="0.35">
      <c r="A1" s="2" t="s">
        <v>8</v>
      </c>
      <c r="B1" s="6" t="s">
        <v>9</v>
      </c>
    </row>
    <row r="2" spans="1:2" x14ac:dyDescent="0.35">
      <c r="A2" s="3">
        <v>45659</v>
      </c>
      <c r="B2" s="5">
        <v>1000000000</v>
      </c>
    </row>
    <row r="3" spans="1:2" x14ac:dyDescent="0.35">
      <c r="A3" s="3">
        <v>45660</v>
      </c>
      <c r="B3" s="5">
        <v>998600668.07081616</v>
      </c>
    </row>
    <row r="4" spans="1:2" x14ac:dyDescent="0.35">
      <c r="A4" s="3">
        <v>45663</v>
      </c>
      <c r="B4" s="5">
        <v>998055621.52676034</v>
      </c>
    </row>
    <row r="5" spans="1:2" x14ac:dyDescent="0.35">
      <c r="A5" s="3">
        <v>45664</v>
      </c>
      <c r="B5" s="5">
        <v>995475590.26253188</v>
      </c>
    </row>
    <row r="6" spans="1:2" x14ac:dyDescent="0.35">
      <c r="A6" s="3">
        <v>45665</v>
      </c>
      <c r="B6" s="5">
        <v>1002334599.973954</v>
      </c>
    </row>
    <row r="7" spans="1:2" x14ac:dyDescent="0.35">
      <c r="A7" s="3">
        <v>45666</v>
      </c>
      <c r="B7" s="5">
        <v>1000749905.175885</v>
      </c>
    </row>
    <row r="8" spans="1:2" x14ac:dyDescent="0.35">
      <c r="A8" s="3">
        <v>45667</v>
      </c>
      <c r="B8" s="5">
        <v>994173414.61030769</v>
      </c>
    </row>
    <row r="9" spans="1:2" x14ac:dyDescent="0.35">
      <c r="A9" s="3">
        <v>45670</v>
      </c>
      <c r="B9" s="5">
        <v>998316619.94679093</v>
      </c>
    </row>
    <row r="10" spans="1:2" x14ac:dyDescent="0.35">
      <c r="A10" s="3">
        <v>45671</v>
      </c>
      <c r="B10" s="5">
        <v>993867133.13209808</v>
      </c>
    </row>
    <row r="11" spans="1:2" x14ac:dyDescent="0.35">
      <c r="A11" s="3">
        <v>45672</v>
      </c>
      <c r="B11" s="5">
        <v>996709593.97819817</v>
      </c>
    </row>
    <row r="12" spans="1:2" x14ac:dyDescent="0.35">
      <c r="A12" s="3">
        <v>45673</v>
      </c>
      <c r="B12" s="5">
        <v>1005543468.220476</v>
      </c>
    </row>
    <row r="13" spans="1:2" x14ac:dyDescent="0.35">
      <c r="A13" s="3">
        <v>45674</v>
      </c>
      <c r="B13" s="5">
        <v>1019363347.0235291</v>
      </c>
    </row>
    <row r="14" spans="1:2" x14ac:dyDescent="0.35">
      <c r="A14" s="3">
        <v>45677</v>
      </c>
      <c r="B14" s="5">
        <v>1022422783.110443</v>
      </c>
    </row>
    <row r="15" spans="1:2" x14ac:dyDescent="0.35">
      <c r="A15" s="3">
        <v>45678</v>
      </c>
      <c r="B15" s="5">
        <v>1021566995.454397</v>
      </c>
    </row>
    <row r="16" spans="1:2" x14ac:dyDescent="0.35">
      <c r="A16" s="3">
        <v>45679</v>
      </c>
      <c r="B16" s="5">
        <v>1042367166.9451849</v>
      </c>
    </row>
    <row r="17" spans="1:2" x14ac:dyDescent="0.35">
      <c r="A17" s="3">
        <v>45680</v>
      </c>
      <c r="B17" s="5">
        <v>1056042184.733874</v>
      </c>
    </row>
    <row r="18" spans="1:2" x14ac:dyDescent="0.35">
      <c r="A18" s="3">
        <v>45681</v>
      </c>
      <c r="B18" s="5">
        <v>1054869847.472608</v>
      </c>
    </row>
    <row r="19" spans="1:2" x14ac:dyDescent="0.35">
      <c r="A19" s="3">
        <v>45691</v>
      </c>
      <c r="B19" s="5">
        <v>1047257337.680063</v>
      </c>
    </row>
    <row r="20" spans="1:2" x14ac:dyDescent="0.35">
      <c r="A20" s="3">
        <v>45692</v>
      </c>
      <c r="B20" s="5">
        <v>1049707988.27464</v>
      </c>
    </row>
    <row r="21" spans="1:2" x14ac:dyDescent="0.35">
      <c r="A21" s="3">
        <v>45693</v>
      </c>
      <c r="B21" s="5">
        <v>1079304839.383554</v>
      </c>
    </row>
    <row r="22" spans="1:2" x14ac:dyDescent="0.35">
      <c r="A22" s="3">
        <v>45694</v>
      </c>
      <c r="B22" s="5">
        <v>1105343613.3167889</v>
      </c>
    </row>
    <row r="23" spans="1:2" x14ac:dyDescent="0.35">
      <c r="A23" s="3">
        <v>45695</v>
      </c>
      <c r="B23" s="5">
        <v>1100489977.4526379</v>
      </c>
    </row>
    <row r="24" spans="1:2" x14ac:dyDescent="0.35">
      <c r="A24" s="3">
        <v>45698</v>
      </c>
      <c r="B24" s="5">
        <v>1092996925.216418</v>
      </c>
    </row>
    <row r="25" spans="1:2" x14ac:dyDescent="0.35">
      <c r="A25" s="3">
        <v>45699</v>
      </c>
      <c r="B25" s="5">
        <v>1101118718.8056791</v>
      </c>
    </row>
    <row r="26" spans="1:2" x14ac:dyDescent="0.35">
      <c r="A26" s="3">
        <v>45700</v>
      </c>
      <c r="B26" s="5">
        <v>1102622776.9071701</v>
      </c>
    </row>
    <row r="27" spans="1:2" x14ac:dyDescent="0.35">
      <c r="A27" s="14">
        <v>45701</v>
      </c>
      <c r="B27" s="15">
        <v>1103883851.2770519</v>
      </c>
    </row>
    <row r="28" spans="1:2" x14ac:dyDescent="0.35">
      <c r="A28" s="3">
        <v>45702</v>
      </c>
      <c r="B28" s="5">
        <v>1102481785.4641881</v>
      </c>
    </row>
    <row r="29" spans="1:2" x14ac:dyDescent="0.35">
      <c r="A29" s="3">
        <v>45705</v>
      </c>
      <c r="B29" s="5">
        <v>1096622303.3183091</v>
      </c>
    </row>
    <row r="30" spans="1:2" x14ac:dyDescent="0.35">
      <c r="A30" s="3">
        <v>45706</v>
      </c>
      <c r="B30" s="5">
        <v>1099467191.1325171</v>
      </c>
    </row>
    <row r="31" spans="1:2" x14ac:dyDescent="0.35">
      <c r="A31" s="3">
        <v>45707</v>
      </c>
      <c r="B31" s="5">
        <v>1100112612.967628</v>
      </c>
    </row>
    <row r="32" spans="1:2" x14ac:dyDescent="0.35">
      <c r="A32" s="3">
        <v>45708</v>
      </c>
      <c r="B32" s="5">
        <v>1101166779.5543809</v>
      </c>
    </row>
    <row r="33" spans="1:2" x14ac:dyDescent="0.35">
      <c r="A33" s="3">
        <v>45709</v>
      </c>
      <c r="B33" s="5">
        <v>1098115872.059871</v>
      </c>
    </row>
    <row r="34" spans="1:2" x14ac:dyDescent="0.35">
      <c r="A34" s="3">
        <v>45712</v>
      </c>
      <c r="B34" s="5">
        <v>1094593512.9290619</v>
      </c>
    </row>
    <row r="35" spans="1:2" x14ac:dyDescent="0.35">
      <c r="A35" s="3">
        <v>45713</v>
      </c>
      <c r="B35" s="5">
        <v>1093132264.2724681</v>
      </c>
    </row>
    <row r="36" spans="1:2" x14ac:dyDescent="0.35">
      <c r="A36" s="3">
        <v>45714</v>
      </c>
      <c r="B36" s="5">
        <v>1096663245.4937339</v>
      </c>
    </row>
    <row r="37" spans="1:2" x14ac:dyDescent="0.35">
      <c r="A37" s="3">
        <v>45715</v>
      </c>
      <c r="B37" s="5">
        <v>1097149618.306742</v>
      </c>
    </row>
    <row r="38" spans="1:2" x14ac:dyDescent="0.35">
      <c r="A38" s="3">
        <v>45716</v>
      </c>
      <c r="B38" s="5">
        <v>1100783187.912981</v>
      </c>
    </row>
    <row r="39" spans="1:2" x14ac:dyDescent="0.35">
      <c r="A39" s="3">
        <v>45719</v>
      </c>
      <c r="B39" s="5">
        <v>1101757375.229279</v>
      </c>
    </row>
    <row r="40" spans="1:2" x14ac:dyDescent="0.35">
      <c r="A40" s="3">
        <v>45720</v>
      </c>
      <c r="B40" s="5">
        <v>1100303940.6192019</v>
      </c>
    </row>
    <row r="41" spans="1:2" x14ac:dyDescent="0.35">
      <c r="A41" s="3">
        <v>45721</v>
      </c>
      <c r="B41" s="5">
        <v>1100019398.079705</v>
      </c>
    </row>
    <row r="42" spans="1:2" x14ac:dyDescent="0.35">
      <c r="A42" s="3">
        <v>45722</v>
      </c>
      <c r="B42" s="5">
        <v>1102039031.836412</v>
      </c>
    </row>
    <row r="43" spans="1:2" x14ac:dyDescent="0.35">
      <c r="A43" s="3">
        <v>45723</v>
      </c>
      <c r="B43" s="5">
        <v>1100779970.8969231</v>
      </c>
    </row>
    <row r="44" spans="1:2" x14ac:dyDescent="0.35">
      <c r="A44" s="3">
        <v>45726</v>
      </c>
      <c r="B44" s="5">
        <v>1097551472.7322221</v>
      </c>
    </row>
    <row r="45" spans="1:2" x14ac:dyDescent="0.35">
      <c r="A45" s="3">
        <v>45727</v>
      </c>
      <c r="B45" s="5">
        <v>1097451392.0819459</v>
      </c>
    </row>
    <row r="46" spans="1:2" x14ac:dyDescent="0.35">
      <c r="A46" s="3">
        <v>45728</v>
      </c>
      <c r="B46" s="5">
        <v>1093936367.9780891</v>
      </c>
    </row>
    <row r="47" spans="1:2" x14ac:dyDescent="0.35">
      <c r="A47" s="3">
        <v>45729</v>
      </c>
      <c r="B47" s="5">
        <v>1090690964.456053</v>
      </c>
    </row>
    <row r="48" spans="1:2" x14ac:dyDescent="0.35">
      <c r="A48" s="3">
        <v>45730</v>
      </c>
      <c r="B48" s="5">
        <v>1084277261.0236139</v>
      </c>
    </row>
    <row r="49" spans="1:2" x14ac:dyDescent="0.35">
      <c r="A49" s="3">
        <v>45733</v>
      </c>
      <c r="B49" s="5">
        <v>1083524739.4683509</v>
      </c>
    </row>
    <row r="50" spans="1:2" x14ac:dyDescent="0.35">
      <c r="A50" s="3">
        <v>45734</v>
      </c>
      <c r="B50" s="5">
        <v>1087821612.3647759</v>
      </c>
    </row>
    <row r="51" spans="1:2" x14ac:dyDescent="0.35">
      <c r="A51" s="3">
        <v>45735</v>
      </c>
      <c r="B51" s="5">
        <v>1084739945.418761</v>
      </c>
    </row>
    <row r="52" spans="1:2" x14ac:dyDescent="0.35">
      <c r="A52" s="3">
        <v>45736</v>
      </c>
      <c r="B52" s="5">
        <v>1085132628.970161</v>
      </c>
    </row>
    <row r="53" spans="1:2" x14ac:dyDescent="0.35">
      <c r="A53" s="3">
        <v>45737</v>
      </c>
      <c r="B53" s="5">
        <v>1085014642.750325</v>
      </c>
    </row>
    <row r="54" spans="1:2" x14ac:dyDescent="0.35">
      <c r="A54" s="3">
        <v>45740</v>
      </c>
      <c r="B54" s="5">
        <v>1082675594.013804</v>
      </c>
    </row>
    <row r="55" spans="1:2" x14ac:dyDescent="0.35">
      <c r="A55" s="3">
        <v>45741</v>
      </c>
      <c r="B55" s="5">
        <v>1081089970.1716621</v>
      </c>
    </row>
    <row r="56" spans="1:2" x14ac:dyDescent="0.35">
      <c r="A56" s="3">
        <v>45742</v>
      </c>
      <c r="B56" s="5">
        <v>1080349888.647579</v>
      </c>
    </row>
    <row r="57" spans="1:2" x14ac:dyDescent="0.35">
      <c r="A57" s="3">
        <v>45743</v>
      </c>
      <c r="B57" s="5">
        <v>1081362468.312022</v>
      </c>
    </row>
    <row r="58" spans="1:2" x14ac:dyDescent="0.35">
      <c r="A58" s="3">
        <v>45744</v>
      </c>
      <c r="B58" s="5">
        <v>1079844006.8920791</v>
      </c>
    </row>
    <row r="59" spans="1:2" x14ac:dyDescent="0.35">
      <c r="A59" s="3">
        <v>45747</v>
      </c>
      <c r="B59" s="5">
        <v>1076846357.505115</v>
      </c>
    </row>
    <row r="60" spans="1:2" x14ac:dyDescent="0.35">
      <c r="A60" s="3">
        <v>45748</v>
      </c>
      <c r="B60" s="5">
        <v>1076846358</v>
      </c>
    </row>
    <row r="61" spans="1:2" x14ac:dyDescent="0.35">
      <c r="A61" s="3">
        <v>45749</v>
      </c>
      <c r="B61" s="5">
        <v>1078049622.316035</v>
      </c>
    </row>
    <row r="62" spans="1:2" x14ac:dyDescent="0.35">
      <c r="A62" s="3">
        <v>45750</v>
      </c>
      <c r="B62" s="5">
        <v>1013839439.948553</v>
      </c>
    </row>
    <row r="63" spans="1:2" x14ac:dyDescent="0.35">
      <c r="A63" s="3">
        <v>45751</v>
      </c>
      <c r="B63" s="5">
        <v>1023106977.907231</v>
      </c>
    </row>
    <row r="64" spans="1:2" x14ac:dyDescent="0.35">
      <c r="A64" s="3">
        <v>45755</v>
      </c>
      <c r="B64" s="5">
        <v>975006433.41275418</v>
      </c>
    </row>
    <row r="65" spans="1:2" x14ac:dyDescent="0.35">
      <c r="A65" s="3">
        <v>45756</v>
      </c>
      <c r="B65" s="5">
        <v>959772206.44920671</v>
      </c>
    </row>
    <row r="66" spans="1:2" x14ac:dyDescent="0.35">
      <c r="A66" s="3">
        <v>45757</v>
      </c>
      <c r="B66" s="5">
        <v>1002732736.180144</v>
      </c>
    </row>
    <row r="67" spans="1:2" x14ac:dyDescent="0.35">
      <c r="A67" s="3">
        <v>45758</v>
      </c>
      <c r="B67" s="5">
        <v>1020077316.885334</v>
      </c>
    </row>
    <row r="68" spans="1:2" x14ac:dyDescent="0.35">
      <c r="A68" s="3">
        <v>45761</v>
      </c>
      <c r="B68" s="5">
        <v>1037545551.831503</v>
      </c>
    </row>
    <row r="69" spans="1:2" x14ac:dyDescent="0.35">
      <c r="A69" s="3">
        <v>45762</v>
      </c>
      <c r="B69" s="5">
        <v>1043435203.9423079</v>
      </c>
    </row>
    <row r="70" spans="1:2" x14ac:dyDescent="0.35">
      <c r="A70" s="3">
        <v>45763</v>
      </c>
      <c r="B70" s="5">
        <v>1034639243.552212</v>
      </c>
    </row>
    <row r="71" spans="1:2" x14ac:dyDescent="0.35">
      <c r="A71" s="3">
        <v>45764</v>
      </c>
      <c r="B71" s="5">
        <v>1051405933.082828</v>
      </c>
    </row>
    <row r="72" spans="1:2" x14ac:dyDescent="0.35">
      <c r="A72" s="3">
        <v>45765</v>
      </c>
      <c r="B72" s="5">
        <v>1045108401.464281</v>
      </c>
    </row>
    <row r="73" spans="1:2" x14ac:dyDescent="0.35">
      <c r="A73" s="3">
        <v>45768</v>
      </c>
      <c r="B73" s="5">
        <v>1029299571.876092</v>
      </c>
    </row>
    <row r="74" spans="1:2" x14ac:dyDescent="0.35">
      <c r="A74" s="3">
        <v>45769</v>
      </c>
      <c r="B74" s="5">
        <v>1018067487.290554</v>
      </c>
    </row>
    <row r="75" spans="1:2" x14ac:dyDescent="0.35">
      <c r="A75" s="3">
        <v>45770</v>
      </c>
      <c r="B75" s="5">
        <v>1019491423.381215</v>
      </c>
    </row>
    <row r="76" spans="1:2" x14ac:dyDescent="0.35">
      <c r="A76" s="3">
        <v>45771</v>
      </c>
      <c r="B76" s="5">
        <v>1029223184.5134929</v>
      </c>
    </row>
    <row r="77" spans="1:2" x14ac:dyDescent="0.35">
      <c r="A77" s="3">
        <v>45772</v>
      </c>
      <c r="B77" s="5">
        <v>1047679548.147962</v>
      </c>
    </row>
    <row r="78" spans="1:2" x14ac:dyDescent="0.35">
      <c r="A78" s="3">
        <v>45775</v>
      </c>
      <c r="B78" s="5">
        <v>1049583581.594051</v>
      </c>
    </row>
    <row r="79" spans="1:2" x14ac:dyDescent="0.35">
      <c r="A79" s="3">
        <v>45776</v>
      </c>
      <c r="B79" s="5">
        <v>1049871595.563898</v>
      </c>
    </row>
    <row r="80" spans="1:2" x14ac:dyDescent="0.35">
      <c r="A80" s="3">
        <v>45782</v>
      </c>
      <c r="B80" s="5">
        <v>1054527660.108284</v>
      </c>
    </row>
    <row r="81" spans="1:2" x14ac:dyDescent="0.35">
      <c r="A81" s="3">
        <v>45783</v>
      </c>
      <c r="B81" s="5">
        <v>1058273259.5026931</v>
      </c>
    </row>
    <row r="82" spans="1:2" x14ac:dyDescent="0.35">
      <c r="A82" s="3">
        <v>45784</v>
      </c>
      <c r="B82" s="5">
        <v>1064666241.793462</v>
      </c>
    </row>
    <row r="83" spans="1:2" x14ac:dyDescent="0.35">
      <c r="A83" s="3">
        <v>45785</v>
      </c>
      <c r="B83" s="5">
        <v>1078841576.9502859</v>
      </c>
    </row>
    <row r="84" spans="1:2" x14ac:dyDescent="0.35">
      <c r="A84" s="3">
        <v>45786</v>
      </c>
      <c r="B84" s="5">
        <v>1077111923.371196</v>
      </c>
    </row>
    <row r="85" spans="1:2" x14ac:dyDescent="0.35">
      <c r="A85" s="3">
        <v>45789</v>
      </c>
      <c r="B85" s="5">
        <v>1079022041.3181379</v>
      </c>
    </row>
    <row r="86" spans="1:2" x14ac:dyDescent="0.35">
      <c r="A86" s="3">
        <v>45790</v>
      </c>
      <c r="B86" s="5">
        <v>1078923381.542856</v>
      </c>
    </row>
    <row r="87" spans="1:2" x14ac:dyDescent="0.35">
      <c r="A87" s="3">
        <v>45791</v>
      </c>
      <c r="B87" s="5">
        <v>1077175702.352329</v>
      </c>
    </row>
    <row r="88" spans="1:2" x14ac:dyDescent="0.35">
      <c r="A88" s="3">
        <v>45792</v>
      </c>
      <c r="B88" s="5">
        <v>1076831926.4139969</v>
      </c>
    </row>
    <row r="89" spans="1:2" x14ac:dyDescent="0.35">
      <c r="A89" s="3">
        <v>45793</v>
      </c>
      <c r="B89" s="5">
        <v>1077297548.2676239</v>
      </c>
    </row>
    <row r="90" spans="1:2" x14ac:dyDescent="0.35">
      <c r="A90" s="3">
        <v>45796</v>
      </c>
      <c r="B90" s="5">
        <v>1077713533.5967319</v>
      </c>
    </row>
    <row r="91" spans="1:2" x14ac:dyDescent="0.35">
      <c r="A91" s="3">
        <v>45797</v>
      </c>
      <c r="B91" s="5">
        <v>1076246341.7391829</v>
      </c>
    </row>
    <row r="92" spans="1:2" x14ac:dyDescent="0.35">
      <c r="A92" s="3">
        <v>45798</v>
      </c>
      <c r="B92" s="5">
        <v>1075865339.6599791</v>
      </c>
    </row>
    <row r="93" spans="1:2" x14ac:dyDescent="0.35">
      <c r="A93" s="3">
        <v>45799</v>
      </c>
      <c r="B93" s="5">
        <v>1072678950.291853</v>
      </c>
    </row>
    <row r="94" spans="1:2" x14ac:dyDescent="0.35">
      <c r="A94" s="3">
        <v>45800</v>
      </c>
      <c r="B94" s="5">
        <v>1072584947.5116709</v>
      </c>
    </row>
    <row r="95" spans="1:2" x14ac:dyDescent="0.35">
      <c r="A95" s="3">
        <v>45803</v>
      </c>
      <c r="B95" s="5">
        <v>1072952305.119662</v>
      </c>
    </row>
    <row r="96" spans="1:2" x14ac:dyDescent="0.35">
      <c r="A96" s="3">
        <v>45804</v>
      </c>
      <c r="B96" s="5">
        <v>1074754021.0517681</v>
      </c>
    </row>
    <row r="97" spans="1:2" x14ac:dyDescent="0.35">
      <c r="A97" s="3">
        <v>45805</v>
      </c>
      <c r="B97" s="5">
        <v>1070837878.134096</v>
      </c>
    </row>
    <row r="98" spans="1:2" x14ac:dyDescent="0.35">
      <c r="A98" s="3">
        <v>45806</v>
      </c>
      <c r="B98" s="5">
        <v>1067798234.875317</v>
      </c>
    </row>
    <row r="99" spans="1:2" x14ac:dyDescent="0.35">
      <c r="A99" s="3">
        <v>45807</v>
      </c>
      <c r="B99" s="5">
        <v>1065984701.471513</v>
      </c>
    </row>
    <row r="100" spans="1:2" x14ac:dyDescent="0.35">
      <c r="A100" s="3">
        <v>45810</v>
      </c>
      <c r="B100" s="5">
        <v>1070693370.5463639</v>
      </c>
    </row>
    <row r="101" spans="1:2" x14ac:dyDescent="0.35">
      <c r="A101" s="3">
        <v>45811</v>
      </c>
      <c r="B101" s="5">
        <v>1071963322.341098</v>
      </c>
    </row>
    <row r="102" spans="1:2" x14ac:dyDescent="0.35">
      <c r="A102" s="3">
        <v>45812</v>
      </c>
      <c r="B102" s="5">
        <v>1071620716.2590131</v>
      </c>
    </row>
    <row r="103" spans="1:2" x14ac:dyDescent="0.35">
      <c r="A103" s="3">
        <v>45813</v>
      </c>
      <c r="B103" s="5">
        <v>1070850428.611529</v>
      </c>
    </row>
    <row r="104" spans="1:2" x14ac:dyDescent="0.35">
      <c r="A104" s="3">
        <v>45814</v>
      </c>
      <c r="B104" s="5">
        <v>1069526269.684273</v>
      </c>
    </row>
    <row r="105" spans="1:2" x14ac:dyDescent="0.35">
      <c r="A105" s="3">
        <v>45817</v>
      </c>
      <c r="B105" s="5">
        <v>1068378212.3181731</v>
      </c>
    </row>
    <row r="106" spans="1:2" x14ac:dyDescent="0.35">
      <c r="A106" s="3">
        <v>45818</v>
      </c>
      <c r="B106" s="5">
        <v>1068076246.5132149</v>
      </c>
    </row>
    <row r="107" spans="1:2" x14ac:dyDescent="0.35">
      <c r="A107" s="3">
        <v>45819</v>
      </c>
      <c r="B107" s="5">
        <v>1068183528.269647</v>
      </c>
    </row>
    <row r="108" spans="1:2" x14ac:dyDescent="0.35">
      <c r="A108" s="3">
        <v>45820</v>
      </c>
      <c r="B108" s="5">
        <v>1068828771.683401</v>
      </c>
    </row>
    <row r="109" spans="1:2" x14ac:dyDescent="0.35">
      <c r="A109" s="3">
        <v>45821</v>
      </c>
      <c r="B109" s="5">
        <v>1067383190.612695</v>
      </c>
    </row>
    <row r="110" spans="1:2" x14ac:dyDescent="0.35">
      <c r="A110" s="3">
        <v>45824</v>
      </c>
      <c r="B110" s="5">
        <v>1069252677.352326</v>
      </c>
    </row>
    <row r="111" spans="1:2" x14ac:dyDescent="0.35">
      <c r="A111" s="3">
        <v>45825</v>
      </c>
      <c r="B111" s="5">
        <v>1071040872.0542361</v>
      </c>
    </row>
    <row r="112" spans="1:2" x14ac:dyDescent="0.35">
      <c r="A112" s="3">
        <v>45826</v>
      </c>
      <c r="B112" s="5">
        <v>1070665937.2047729</v>
      </c>
    </row>
    <row r="113" spans="1:2" x14ac:dyDescent="0.35">
      <c r="A113" s="3">
        <v>45827</v>
      </c>
      <c r="B113" s="5">
        <v>1071902882.66896</v>
      </c>
    </row>
    <row r="114" spans="1:2" x14ac:dyDescent="0.35">
      <c r="A114" s="3">
        <v>45828</v>
      </c>
      <c r="B114" s="5">
        <v>1072850255.022171</v>
      </c>
    </row>
    <row r="115" spans="1:2" x14ac:dyDescent="0.35">
      <c r="A115" s="3">
        <v>45831</v>
      </c>
      <c r="B115" s="5">
        <v>1074780728.8039219</v>
      </c>
    </row>
    <row r="116" spans="1:2" x14ac:dyDescent="0.35">
      <c r="A116" s="3">
        <v>45832</v>
      </c>
      <c r="B116" s="5">
        <v>1074485433.185441</v>
      </c>
    </row>
    <row r="117" spans="1:2" x14ac:dyDescent="0.35">
      <c r="A117" s="3">
        <v>45833</v>
      </c>
      <c r="B117" s="5">
        <v>1073470357.820031</v>
      </c>
    </row>
    <row r="118" spans="1:2" x14ac:dyDescent="0.35">
      <c r="A118" s="3">
        <v>45834</v>
      </c>
      <c r="B118" s="5">
        <v>1074703642.983391</v>
      </c>
    </row>
    <row r="119" spans="1:2" x14ac:dyDescent="0.35">
      <c r="A119" s="3">
        <v>45835</v>
      </c>
      <c r="B119" s="5">
        <v>1076155045.921783</v>
      </c>
    </row>
    <row r="120" spans="1:2" x14ac:dyDescent="0.35">
      <c r="A120" s="3">
        <v>45838</v>
      </c>
      <c r="B120" s="5">
        <v>1079416202.73282</v>
      </c>
    </row>
    <row r="121" spans="1:2" x14ac:dyDescent="0.35">
      <c r="A121" s="3">
        <v>45839</v>
      </c>
      <c r="B121" s="5">
        <v>1079416203</v>
      </c>
    </row>
    <row r="122" spans="1:2" x14ac:dyDescent="0.35">
      <c r="A122" s="3">
        <v>45840</v>
      </c>
      <c r="B122" s="5">
        <v>1088542125.3328719</v>
      </c>
    </row>
    <row r="123" spans="1:2" x14ac:dyDescent="0.35">
      <c r="A123" s="3">
        <v>45841</v>
      </c>
      <c r="B123" s="5">
        <v>1088937520.879302</v>
      </c>
    </row>
    <row r="124" spans="1:2" x14ac:dyDescent="0.35">
      <c r="A124" s="3">
        <v>45842</v>
      </c>
      <c r="B124" s="5">
        <v>1095441881.074528</v>
      </c>
    </row>
    <row r="125" spans="1:2" x14ac:dyDescent="0.35">
      <c r="A125" s="3">
        <v>45845</v>
      </c>
      <c r="B125" s="5">
        <v>1102257130.5227721</v>
      </c>
    </row>
    <row r="126" spans="1:2" x14ac:dyDescent="0.35">
      <c r="A126" s="3">
        <v>45846</v>
      </c>
      <c r="B126" s="5">
        <v>1111323703.9474239</v>
      </c>
    </row>
    <row r="127" spans="1:2" x14ac:dyDescent="0.35">
      <c r="A127" s="3">
        <v>45847</v>
      </c>
      <c r="B127" s="5">
        <v>1117832104.4617729</v>
      </c>
    </row>
    <row r="128" spans="1:2" x14ac:dyDescent="0.35">
      <c r="A128" s="3">
        <v>45848</v>
      </c>
      <c r="B128" s="5">
        <v>1129109651.661799</v>
      </c>
    </row>
    <row r="129" spans="1:2" x14ac:dyDescent="0.35">
      <c r="A129" s="3">
        <v>45849</v>
      </c>
      <c r="B129" s="5">
        <v>1133804339.6270499</v>
      </c>
    </row>
    <row r="130" spans="1:2" x14ac:dyDescent="0.35">
      <c r="A130" s="3">
        <v>45852</v>
      </c>
      <c r="B130" s="5">
        <v>1138506512.377275</v>
      </c>
    </row>
    <row r="131" spans="1:2" x14ac:dyDescent="0.35">
      <c r="A131" s="3">
        <v>45853</v>
      </c>
      <c r="B131" s="5">
        <v>1140137486.2528999</v>
      </c>
    </row>
    <row r="132" spans="1:2" x14ac:dyDescent="0.35">
      <c r="A132" s="3">
        <v>45854</v>
      </c>
      <c r="B132" s="5">
        <v>1156825742.0872011</v>
      </c>
    </row>
    <row r="133" spans="1:2" x14ac:dyDescent="0.35">
      <c r="A133" s="3">
        <v>45855</v>
      </c>
      <c r="B133" s="5">
        <v>1177064097.631695</v>
      </c>
    </row>
    <row r="134" spans="1:2" x14ac:dyDescent="0.35">
      <c r="A134" s="3">
        <v>45856</v>
      </c>
      <c r="B134" s="5">
        <v>1186508040.554111</v>
      </c>
    </row>
    <row r="135" spans="1:2" x14ac:dyDescent="0.35">
      <c r="A135" s="3">
        <v>45859</v>
      </c>
      <c r="B135" s="5">
        <v>1194406382.1543691</v>
      </c>
    </row>
    <row r="136" spans="1:2" x14ac:dyDescent="0.35">
      <c r="A136" s="3">
        <v>45860</v>
      </c>
      <c r="B136" s="5">
        <v>1208657815.3718519</v>
      </c>
    </row>
    <row r="137" spans="1:2" x14ac:dyDescent="0.35">
      <c r="A137" s="3">
        <v>45861</v>
      </c>
      <c r="B137" s="5">
        <v>1212783114.2286799</v>
      </c>
    </row>
    <row r="138" spans="1:2" x14ac:dyDescent="0.35">
      <c r="A138" s="3">
        <v>45862</v>
      </c>
      <c r="B138" s="5">
        <v>1211745313.0906241</v>
      </c>
    </row>
    <row r="139" spans="1:2" x14ac:dyDescent="0.35">
      <c r="A139" s="3">
        <v>45863</v>
      </c>
      <c r="B139" s="5">
        <v>1222370624.5240099</v>
      </c>
    </row>
    <row r="140" spans="1:2" x14ac:dyDescent="0.35">
      <c r="A140" s="3">
        <v>45866</v>
      </c>
      <c r="B140" s="5">
        <v>1233215123.060179</v>
      </c>
    </row>
    <row r="141" spans="1:2" x14ac:dyDescent="0.35">
      <c r="A141" s="3">
        <v>45867</v>
      </c>
      <c r="B141" s="5">
        <v>1220359387.694468</v>
      </c>
    </row>
    <row r="142" spans="1:2" x14ac:dyDescent="0.35">
      <c r="A142" s="3">
        <v>45868</v>
      </c>
      <c r="B142" s="5">
        <v>1223592894.6714859</v>
      </c>
    </row>
    <row r="143" spans="1:2" x14ac:dyDescent="0.35">
      <c r="A143" s="3">
        <v>45869</v>
      </c>
      <c r="B143" s="5">
        <v>1224476899.2233739</v>
      </c>
    </row>
    <row r="144" spans="1:2" x14ac:dyDescent="0.35">
      <c r="A144" s="3">
        <v>45870</v>
      </c>
      <c r="B144" s="5">
        <v>1230765799.122575</v>
      </c>
    </row>
    <row r="145" spans="1:2" x14ac:dyDescent="0.35">
      <c r="A145" s="3">
        <v>45873</v>
      </c>
      <c r="B145" s="5">
        <v>1242546780.653924</v>
      </c>
    </row>
    <row r="146" spans="1:2" x14ac:dyDescent="0.35">
      <c r="A146" s="3">
        <v>45874</v>
      </c>
      <c r="B146" s="5">
        <v>1246136066.9723821</v>
      </c>
    </row>
    <row r="147" spans="1:2" x14ac:dyDescent="0.35">
      <c r="A147" s="3">
        <v>45875</v>
      </c>
      <c r="B147" s="5">
        <v>1255241624.257123</v>
      </c>
    </row>
    <row r="148" spans="1:2" x14ac:dyDescent="0.35">
      <c r="A148" s="3">
        <v>45876</v>
      </c>
      <c r="B148" s="5">
        <v>1256475882.1232381</v>
      </c>
    </row>
    <row r="149" spans="1:2" x14ac:dyDescent="0.35">
      <c r="A149" s="3">
        <v>45877</v>
      </c>
      <c r="B149" s="5">
        <v>1252829712.9256289</v>
      </c>
    </row>
    <row r="150" spans="1:2" x14ac:dyDescent="0.35">
      <c r="A150" s="3">
        <v>45880</v>
      </c>
      <c r="B150" s="5">
        <v>1257643094.612165</v>
      </c>
    </row>
    <row r="151" spans="1:2" x14ac:dyDescent="0.35">
      <c r="A151" s="3">
        <v>45881</v>
      </c>
      <c r="B151" s="5">
        <v>1255278332.0070031</v>
      </c>
    </row>
    <row r="152" spans="1:2" x14ac:dyDescent="0.35">
      <c r="A152" s="3">
        <v>45882</v>
      </c>
      <c r="B152" s="5">
        <v>1253274094.4802401</v>
      </c>
    </row>
    <row r="153" spans="1:2" x14ac:dyDescent="0.35">
      <c r="A153" s="3">
        <v>45883</v>
      </c>
      <c r="B153" s="5">
        <v>1258302156.2074289</v>
      </c>
    </row>
    <row r="154" spans="1:2" x14ac:dyDescent="0.35">
      <c r="A154" s="3">
        <v>45884</v>
      </c>
      <c r="B154" s="5">
        <v>1249543389.114296</v>
      </c>
    </row>
    <row r="155" spans="1:2" x14ac:dyDescent="0.35">
      <c r="A155" s="3">
        <v>45887</v>
      </c>
      <c r="B155" s="5">
        <v>1249229256.522999</v>
      </c>
    </row>
    <row r="156" spans="1:2" x14ac:dyDescent="0.35">
      <c r="A156" s="3">
        <v>45888</v>
      </c>
      <c r="B156" s="5">
        <v>1251407291.5826981</v>
      </c>
    </row>
    <row r="157" spans="1:2" x14ac:dyDescent="0.35">
      <c r="A157" s="3">
        <v>45889</v>
      </c>
      <c r="B157" s="5">
        <v>1255295705.3776319</v>
      </c>
    </row>
    <row r="158" spans="1:2" x14ac:dyDescent="0.35">
      <c r="A158" s="3">
        <v>45890</v>
      </c>
      <c r="B158" s="5">
        <v>1263978655.545238</v>
      </c>
    </row>
    <row r="159" spans="1:2" x14ac:dyDescent="0.35">
      <c r="A159" s="3">
        <v>45891</v>
      </c>
      <c r="B159" s="5">
        <v>1251551650.947377</v>
      </c>
    </row>
    <row r="160" spans="1:2" x14ac:dyDescent="0.35">
      <c r="A160" s="3">
        <v>45894</v>
      </c>
      <c r="B160" s="5">
        <v>1254594145.0392499</v>
      </c>
    </row>
    <row r="161" spans="1:2" x14ac:dyDescent="0.35">
      <c r="A161" s="3">
        <v>45895</v>
      </c>
      <c r="B161" s="5">
        <v>1256473708.3442819</v>
      </c>
    </row>
    <row r="162" spans="1:2" x14ac:dyDescent="0.35">
      <c r="A162" s="3">
        <v>45896</v>
      </c>
      <c r="B162" s="5">
        <v>1261490753.2804611</v>
      </c>
    </row>
    <row r="163" spans="1:2" x14ac:dyDescent="0.35">
      <c r="A163" s="3">
        <v>45897</v>
      </c>
      <c r="B163" s="5">
        <v>1261332884.9792399</v>
      </c>
    </row>
    <row r="164" spans="1:2" x14ac:dyDescent="0.35">
      <c r="A164" s="3">
        <v>45898</v>
      </c>
      <c r="B164" s="5">
        <v>1262297472.4204559</v>
      </c>
    </row>
    <row r="165" spans="1:2" x14ac:dyDescent="0.35">
      <c r="A165" s="3">
        <v>45903</v>
      </c>
      <c r="B165" s="5">
        <v>1263175871.91713</v>
      </c>
    </row>
    <row r="166" spans="1:2" x14ac:dyDescent="0.35">
      <c r="A166" s="3">
        <v>45904</v>
      </c>
      <c r="B166" s="5">
        <v>1264121421.4335711</v>
      </c>
    </row>
    <row r="167" spans="1:2" x14ac:dyDescent="0.35">
      <c r="A167" s="3">
        <v>45905</v>
      </c>
      <c r="B167" s="5">
        <v>1264539708.015373</v>
      </c>
    </row>
    <row r="168" spans="1:2" x14ac:dyDescent="0.35">
      <c r="A168" s="3">
        <v>45908</v>
      </c>
      <c r="B168" s="5">
        <v>1261061262.256355</v>
      </c>
    </row>
    <row r="169" spans="1:2" x14ac:dyDescent="0.35">
      <c r="A169" s="3">
        <v>45909</v>
      </c>
      <c r="B169" s="5">
        <v>1263786480.242409</v>
      </c>
    </row>
    <row r="170" spans="1:2" x14ac:dyDescent="0.35">
      <c r="A170" s="3">
        <v>45910</v>
      </c>
      <c r="B170" s="5">
        <v>1262305745.5461271</v>
      </c>
    </row>
    <row r="171" spans="1:2" x14ac:dyDescent="0.35">
      <c r="A171" s="3">
        <v>45911</v>
      </c>
      <c r="B171" s="5">
        <v>1261858915.678906</v>
      </c>
    </row>
    <row r="172" spans="1:2" x14ac:dyDescent="0.35">
      <c r="A172" s="3">
        <v>45912</v>
      </c>
      <c r="B172" s="5">
        <v>1268082766.572098</v>
      </c>
    </row>
    <row r="173" spans="1:2" x14ac:dyDescent="0.35">
      <c r="A173" s="3">
        <v>45915</v>
      </c>
      <c r="B173" s="5">
        <v>1267930324.341326</v>
      </c>
    </row>
    <row r="174" spans="1:2" x14ac:dyDescent="0.35">
      <c r="A174" s="3">
        <v>45916</v>
      </c>
      <c r="B174" s="5">
        <v>1267406645.226259</v>
      </c>
    </row>
    <row r="175" spans="1:2" x14ac:dyDescent="0.35">
      <c r="A175" s="3">
        <v>45917</v>
      </c>
      <c r="B175" s="5">
        <v>1265008177.7082319</v>
      </c>
    </row>
    <row r="176" spans="1:2" x14ac:dyDescent="0.35">
      <c r="A176" s="3">
        <v>45918</v>
      </c>
      <c r="B176" s="5">
        <v>1264429369.617831</v>
      </c>
    </row>
    <row r="177" spans="1:2" x14ac:dyDescent="0.35">
      <c r="A177" s="3">
        <v>45919</v>
      </c>
      <c r="B177" s="5">
        <v>1265823545.6841509</v>
      </c>
    </row>
    <row r="178" spans="1:2" x14ac:dyDescent="0.35">
      <c r="A178" s="3">
        <v>45922</v>
      </c>
      <c r="B178" s="5">
        <v>1264485172.0260811</v>
      </c>
    </row>
    <row r="179" spans="1:2" x14ac:dyDescent="0.35">
      <c r="A179" s="3">
        <v>45923</v>
      </c>
      <c r="B179" s="5">
        <v>1268110147.234401</v>
      </c>
    </row>
    <row r="180" spans="1:2" x14ac:dyDescent="0.35">
      <c r="A180" s="3">
        <v>45924</v>
      </c>
      <c r="B180" s="5">
        <v>1264889446.0505431</v>
      </c>
    </row>
    <row r="181" spans="1:2" x14ac:dyDescent="0.35">
      <c r="A181" s="3">
        <v>45925</v>
      </c>
      <c r="B181" s="5">
        <v>1262687778.580121</v>
      </c>
    </row>
    <row r="182" spans="1:2" x14ac:dyDescent="0.35">
      <c r="A182" s="3">
        <v>45926</v>
      </c>
      <c r="B182" s="5">
        <v>1261533926.7459421</v>
      </c>
    </row>
    <row r="183" spans="1:2" x14ac:dyDescent="0.35">
      <c r="A183" s="3">
        <v>45929</v>
      </c>
      <c r="B183" s="5">
        <v>1259673214.6949601</v>
      </c>
    </row>
    <row r="184" spans="1:2" x14ac:dyDescent="0.35">
      <c r="A184" s="3">
        <v>45930</v>
      </c>
      <c r="B184" s="5">
        <v>1255631737.6137421</v>
      </c>
    </row>
    <row r="185" spans="1:2" x14ac:dyDescent="0.35">
      <c r="A185" s="3">
        <v>45931</v>
      </c>
      <c r="B185" s="5">
        <v>1257302109</v>
      </c>
    </row>
    <row r="186" spans="1:2" x14ac:dyDescent="0.35">
      <c r="A186" s="3">
        <v>45932</v>
      </c>
      <c r="B186" s="5">
        <v>1254372108.6490841</v>
      </c>
    </row>
    <row r="187" spans="1:2" x14ac:dyDescent="0.35">
      <c r="A187" s="3">
        <v>45933</v>
      </c>
      <c r="B187" s="5">
        <v>1252723089.637372</v>
      </c>
    </row>
    <row r="188" spans="1:2" x14ac:dyDescent="0.35">
      <c r="A188" s="3">
        <v>45936</v>
      </c>
      <c r="B188" s="5">
        <v>1275821499.94962</v>
      </c>
    </row>
    <row r="189" spans="1:2" x14ac:dyDescent="0.35">
      <c r="A189" s="3">
        <v>45937</v>
      </c>
      <c r="B189" s="5">
        <v>1278159823.3559091</v>
      </c>
    </row>
    <row r="190" spans="1:2" x14ac:dyDescent="0.35">
      <c r="A190" s="3">
        <v>45938</v>
      </c>
      <c r="B190" s="5">
        <v>1285343231.680079</v>
      </c>
    </row>
    <row r="191" spans="1:2" x14ac:dyDescent="0.35">
      <c r="A191" s="3">
        <v>45939</v>
      </c>
      <c r="B191" s="5">
        <v>1290094600.71366</v>
      </c>
    </row>
    <row r="192" spans="1:2" x14ac:dyDescent="0.35">
      <c r="A192" s="3">
        <v>45940</v>
      </c>
      <c r="B192" s="5">
        <v>1308515870.1773131</v>
      </c>
    </row>
    <row r="193" spans="1:2" x14ac:dyDescent="0.35">
      <c r="A193" s="3">
        <v>45943</v>
      </c>
      <c r="B193" s="5">
        <v>1327542517.1947429</v>
      </c>
    </row>
    <row r="194" spans="1:2" x14ac:dyDescent="0.35">
      <c r="A194" s="3">
        <v>45944</v>
      </c>
      <c r="B194" s="5">
        <v>1334839384.2524581</v>
      </c>
    </row>
    <row r="195" spans="1:2" x14ac:dyDescent="0.35">
      <c r="A195" s="3">
        <v>45945</v>
      </c>
      <c r="B195" s="5">
        <v>1345123148.2246799</v>
      </c>
    </row>
    <row r="196" spans="1:2" x14ac:dyDescent="0.35">
      <c r="A196" s="3">
        <v>45946</v>
      </c>
      <c r="B196" s="5">
        <v>1342944380.8897319</v>
      </c>
    </row>
    <row r="197" spans="1:2" x14ac:dyDescent="0.35">
      <c r="A197" s="3">
        <v>45947</v>
      </c>
      <c r="B197" s="5">
        <v>1333504402.568578</v>
      </c>
    </row>
    <row r="198" spans="1:2" x14ac:dyDescent="0.35">
      <c r="A198" s="3">
        <v>45950</v>
      </c>
      <c r="B198" s="5">
        <v>1313434001.087615</v>
      </c>
    </row>
    <row r="199" spans="1:2" x14ac:dyDescent="0.35">
      <c r="A199" s="3">
        <v>45951</v>
      </c>
      <c r="B199" s="5">
        <v>1315388730.190989</v>
      </c>
    </row>
    <row r="200" spans="1:2" x14ac:dyDescent="0.35">
      <c r="A200" s="3">
        <v>45952</v>
      </c>
      <c r="B200" s="5">
        <v>1319227633.604182</v>
      </c>
    </row>
    <row r="201" spans="1:2" x14ac:dyDescent="0.35">
      <c r="A201" s="3">
        <v>45953</v>
      </c>
      <c r="B201" s="5">
        <v>1317995284.394804</v>
      </c>
    </row>
    <row r="202" spans="1:2" x14ac:dyDescent="0.35">
      <c r="A202" s="3">
        <v>45954</v>
      </c>
      <c r="B202" s="5">
        <v>1317983273.7327671</v>
      </c>
    </row>
    <row r="203" spans="1:2" x14ac:dyDescent="0.35">
      <c r="A203" s="3">
        <v>45957</v>
      </c>
      <c r="B203" s="5">
        <v>1319623695.2783</v>
      </c>
    </row>
    <row r="204" spans="1:2" x14ac:dyDescent="0.35">
      <c r="A204" s="3">
        <v>45958</v>
      </c>
      <c r="B204" s="5">
        <v>1327361823.870255</v>
      </c>
    </row>
    <row r="205" spans="1:2" x14ac:dyDescent="0.35">
      <c r="A205" s="3">
        <v>45959</v>
      </c>
      <c r="B205" s="5">
        <v>1340489056.3937171</v>
      </c>
    </row>
    <row r="206" spans="1:2" x14ac:dyDescent="0.35">
      <c r="A206" s="3">
        <v>45960</v>
      </c>
      <c r="B206" s="5">
        <v>1351515001.472399</v>
      </c>
    </row>
    <row r="207" spans="1:2" x14ac:dyDescent="0.35">
      <c r="A207" s="3">
        <v>45961</v>
      </c>
      <c r="B207" s="5">
        <v>1355269799.732059</v>
      </c>
    </row>
    <row r="208" spans="1:2" x14ac:dyDescent="0.35">
      <c r="A208" s="3">
        <v>45964</v>
      </c>
      <c r="B208" s="5">
        <v>1358463518.6496251</v>
      </c>
    </row>
    <row r="209" spans="1:2" x14ac:dyDescent="0.35">
      <c r="A209" s="3">
        <v>45965</v>
      </c>
      <c r="B209" s="5">
        <v>1360832916.8763659</v>
      </c>
    </row>
    <row r="210" spans="1:2" x14ac:dyDescent="0.35">
      <c r="A210" s="3">
        <v>45966</v>
      </c>
      <c r="B210" s="5">
        <v>1365667390.8177421</v>
      </c>
    </row>
    <row r="211" spans="1:2" x14ac:dyDescent="0.35">
      <c r="A211" s="3">
        <v>45967</v>
      </c>
      <c r="B211" s="5">
        <v>1369490658.342031</v>
      </c>
    </row>
    <row r="212" spans="1:2" x14ac:dyDescent="0.35">
      <c r="A212" s="3">
        <v>45968</v>
      </c>
      <c r="B212" s="5">
        <v>1372577593.7902579</v>
      </c>
    </row>
    <row r="213" spans="1:2" x14ac:dyDescent="0.35">
      <c r="A213" s="3">
        <v>45971</v>
      </c>
      <c r="B213" s="5">
        <v>1369646803.8782251</v>
      </c>
    </row>
    <row r="214" spans="1:2" x14ac:dyDescent="0.35">
      <c r="A214" s="3">
        <v>45972</v>
      </c>
      <c r="B214" s="5">
        <v>1370713532.2571509</v>
      </c>
    </row>
    <row r="215" spans="1:2" x14ac:dyDescent="0.35">
      <c r="A215" s="3">
        <v>45973</v>
      </c>
      <c r="B215" s="5">
        <v>1377762246.4415939</v>
      </c>
    </row>
    <row r="216" spans="1:2" x14ac:dyDescent="0.35">
      <c r="A216" s="3">
        <v>45974</v>
      </c>
      <c r="B216" s="5">
        <v>1377286989.883791</v>
      </c>
    </row>
    <row r="217" spans="1:2" x14ac:dyDescent="0.35">
      <c r="A217" s="3">
        <v>45975</v>
      </c>
      <c r="B217" s="5">
        <v>1377285642.920681</v>
      </c>
    </row>
    <row r="218" spans="1:2" x14ac:dyDescent="0.35">
      <c r="A218" s="3">
        <v>45978</v>
      </c>
      <c r="B218" s="5">
        <v>1377034104.905534</v>
      </c>
    </row>
    <row r="219" spans="1:2" x14ac:dyDescent="0.35">
      <c r="A219" s="3">
        <v>45979</v>
      </c>
      <c r="B219" s="5">
        <v>1377549667.098927</v>
      </c>
    </row>
    <row r="220" spans="1:2" x14ac:dyDescent="0.35">
      <c r="A220" s="3">
        <v>45980</v>
      </c>
      <c r="B220" s="5">
        <v>1377414197.9339421</v>
      </c>
    </row>
    <row r="221" spans="1:2" x14ac:dyDescent="0.35">
      <c r="A221" s="3">
        <v>45981</v>
      </c>
      <c r="B221" s="5">
        <v>1382787692.002804</v>
      </c>
    </row>
    <row r="222" spans="1:2" x14ac:dyDescent="0.35">
      <c r="A222" s="3">
        <v>45982</v>
      </c>
      <c r="B222" s="5">
        <v>1379927808.6893051</v>
      </c>
    </row>
    <row r="223" spans="1:2" x14ac:dyDescent="0.35">
      <c r="A223" s="3">
        <v>45985</v>
      </c>
      <c r="B223" s="5">
        <v>1382736467.9759991</v>
      </c>
    </row>
    <row r="224" spans="1:2" x14ac:dyDescent="0.35">
      <c r="A224" s="3">
        <v>45986</v>
      </c>
      <c r="B224" s="5">
        <v>1382177333.5039239</v>
      </c>
    </row>
    <row r="225" spans="1:2" x14ac:dyDescent="0.35">
      <c r="A225" s="3">
        <v>45987</v>
      </c>
      <c r="B225" s="5">
        <v>1379983244.0099289</v>
      </c>
    </row>
    <row r="226" spans="1:2" x14ac:dyDescent="0.35">
      <c r="A226" s="3">
        <v>45988</v>
      </c>
      <c r="B226" s="5">
        <v>1377950912.923867</v>
      </c>
    </row>
    <row r="227" spans="1:2" x14ac:dyDescent="0.35">
      <c r="A227" s="3">
        <v>45989</v>
      </c>
      <c r="B227" s="5">
        <v>1378645777.315691</v>
      </c>
    </row>
    <row r="228" spans="1:2" x14ac:dyDescent="0.35">
      <c r="A228" s="3">
        <v>45992</v>
      </c>
      <c r="B228" s="5">
        <v>1391487083.0631061</v>
      </c>
    </row>
    <row r="229" spans="1:2" x14ac:dyDescent="0.35">
      <c r="A229" s="3">
        <v>45993</v>
      </c>
      <c r="B229" s="5">
        <v>1390360093.5331011</v>
      </c>
    </row>
    <row r="230" spans="1:2" x14ac:dyDescent="0.35">
      <c r="A230" s="3">
        <v>45994</v>
      </c>
      <c r="B230" s="5">
        <v>1389904376.7672369</v>
      </c>
    </row>
    <row r="231" spans="1:2" x14ac:dyDescent="0.35">
      <c r="A231" s="3">
        <v>45995</v>
      </c>
      <c r="B231" s="5">
        <v>1392921721.781323</v>
      </c>
    </row>
    <row r="232" spans="1:2" x14ac:dyDescent="0.35">
      <c r="A232" s="3">
        <v>45996</v>
      </c>
      <c r="B232" s="5">
        <v>1392703152.20327</v>
      </c>
    </row>
    <row r="233" spans="1:2" x14ac:dyDescent="0.35">
      <c r="A233" s="3">
        <v>45999</v>
      </c>
      <c r="B233" s="5">
        <v>1395809851.1609709</v>
      </c>
    </row>
    <row r="234" spans="1:2" x14ac:dyDescent="0.35">
      <c r="A234" s="3">
        <v>46000</v>
      </c>
      <c r="B234" s="5">
        <v>1398362282.109952</v>
      </c>
    </row>
    <row r="235" spans="1:2" x14ac:dyDescent="0.35">
      <c r="A235" s="3">
        <v>46001</v>
      </c>
      <c r="B235" s="5">
        <v>1398652320.8978181</v>
      </c>
    </row>
    <row r="236" spans="1:2" x14ac:dyDescent="0.35">
      <c r="A236" s="3">
        <v>46002</v>
      </c>
      <c r="B236" s="5">
        <v>1399814219.0152609</v>
      </c>
    </row>
    <row r="237" spans="1:2" x14ac:dyDescent="0.35">
      <c r="A237" s="3">
        <v>46003</v>
      </c>
      <c r="B237" s="5">
        <v>1403415840.215934</v>
      </c>
    </row>
    <row r="238" spans="1:2" x14ac:dyDescent="0.35">
      <c r="A238" s="3">
        <v>46006</v>
      </c>
      <c r="B238" s="5">
        <v>1413357486.7746601</v>
      </c>
    </row>
    <row r="239" spans="1:2" x14ac:dyDescent="0.35">
      <c r="A239" s="3">
        <v>46007</v>
      </c>
      <c r="B239" s="5">
        <v>1415893481.9166651</v>
      </c>
    </row>
    <row r="240" spans="1:2" x14ac:dyDescent="0.35">
      <c r="A240" s="3">
        <v>46008</v>
      </c>
      <c r="B240" s="5">
        <v>1420909586.107621</v>
      </c>
    </row>
    <row r="241" spans="1:2" x14ac:dyDescent="0.35">
      <c r="A241" s="3">
        <v>46009</v>
      </c>
      <c r="B241" s="5">
        <v>1419873942.6379001</v>
      </c>
    </row>
    <row r="242" spans="1:2" x14ac:dyDescent="0.35">
      <c r="A242" s="3">
        <v>46010</v>
      </c>
      <c r="B242" s="5">
        <v>1421240055.2686329</v>
      </c>
    </row>
    <row r="243" spans="1:2" x14ac:dyDescent="0.35">
      <c r="A243" s="3">
        <v>46013</v>
      </c>
      <c r="B243" s="5">
        <v>1422865180.859751</v>
      </c>
    </row>
    <row r="244" spans="1:2" x14ac:dyDescent="0.35">
      <c r="A244" s="3">
        <v>46014</v>
      </c>
      <c r="B244" s="5">
        <v>1426009077.4207349</v>
      </c>
    </row>
    <row r="245" spans="1:2" x14ac:dyDescent="0.35">
      <c r="A245" s="3">
        <v>46015</v>
      </c>
      <c r="B245" s="5">
        <v>1424589449.9706631</v>
      </c>
    </row>
    <row r="246" spans="1:2" x14ac:dyDescent="0.35">
      <c r="A246" s="3">
        <v>46016</v>
      </c>
      <c r="B246" s="5">
        <v>1424968519.5977681</v>
      </c>
    </row>
    <row r="247" spans="1:2" x14ac:dyDescent="0.35">
      <c r="A247" s="3">
        <v>46017</v>
      </c>
      <c r="B247" s="5">
        <v>1425676672.180263</v>
      </c>
    </row>
    <row r="248" spans="1:2" x14ac:dyDescent="0.35">
      <c r="A248" s="3">
        <v>46020</v>
      </c>
      <c r="B248" s="5">
        <v>1426726462.7399931</v>
      </c>
    </row>
    <row r="249" spans="1:2" x14ac:dyDescent="0.35">
      <c r="A249" s="3">
        <v>46021</v>
      </c>
      <c r="B249" s="5">
        <v>1426667000.7962501</v>
      </c>
    </row>
    <row r="250" spans="1:2" x14ac:dyDescent="0.35">
      <c r="A250" s="3">
        <v>46022</v>
      </c>
      <c r="B250" s="5">
        <v>1430325355.1635561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tabSelected="1" topLeftCell="A47" workbookViewId="0">
      <selection activeCell="L62" sqref="L62"/>
    </sheetView>
  </sheetViews>
  <sheetFormatPr defaultRowHeight="14.5" x14ac:dyDescent="0.35"/>
  <cols>
    <col min="1" max="1" width="11.36328125" customWidth="1"/>
    <col min="2" max="2" width="11.36328125" style="4" customWidth="1"/>
    <col min="3" max="3" width="11.36328125" customWidth="1"/>
    <col min="4" max="5" width="15.36328125" customWidth="1"/>
    <col min="6" max="7" width="15.36328125" style="4" customWidth="1"/>
    <col min="8" max="8" width="15.36328125" customWidth="1"/>
  </cols>
  <sheetData>
    <row r="1" spans="1:8" x14ac:dyDescent="0.35">
      <c r="A1" s="1" t="s">
        <v>10</v>
      </c>
      <c r="B1" s="7" t="s">
        <v>11</v>
      </c>
      <c r="C1" s="1" t="s">
        <v>12</v>
      </c>
      <c r="D1" s="1" t="s">
        <v>13</v>
      </c>
      <c r="E1" s="1" t="s">
        <v>14</v>
      </c>
      <c r="F1" s="7" t="s">
        <v>15</v>
      </c>
      <c r="G1" s="7" t="s">
        <v>16</v>
      </c>
      <c r="H1" s="1" t="s">
        <v>17</v>
      </c>
    </row>
    <row r="2" spans="1:8" x14ac:dyDescent="0.35">
      <c r="A2" s="16" t="s">
        <v>44</v>
      </c>
      <c r="B2" s="16"/>
      <c r="C2" s="16"/>
      <c r="D2" s="16"/>
      <c r="E2" s="16"/>
      <c r="F2" s="16"/>
      <c r="G2" s="16"/>
      <c r="H2" s="16"/>
    </row>
    <row r="3" spans="1:8" x14ac:dyDescent="0.35">
      <c r="A3" t="s">
        <v>25</v>
      </c>
      <c r="B3" s="4">
        <v>0.15490000000000001</v>
      </c>
      <c r="C3">
        <v>0.01</v>
      </c>
      <c r="D3" t="s">
        <v>19</v>
      </c>
      <c r="E3" t="s">
        <v>26</v>
      </c>
      <c r="F3" s="4">
        <v>0.28960000000000002</v>
      </c>
      <c r="G3" s="4">
        <v>0.28960000000000002</v>
      </c>
      <c r="H3" t="s">
        <v>22</v>
      </c>
    </row>
    <row r="4" spans="1:8" x14ac:dyDescent="0.35">
      <c r="A4" t="s">
        <v>27</v>
      </c>
      <c r="B4" s="4">
        <v>0.1283</v>
      </c>
      <c r="C4">
        <v>0.32</v>
      </c>
      <c r="D4" t="s">
        <v>19</v>
      </c>
      <c r="E4" t="s">
        <v>28</v>
      </c>
      <c r="F4" s="4">
        <v>0.20639979278157081</v>
      </c>
      <c r="G4" s="4">
        <v>0.20639979278157081</v>
      </c>
      <c r="H4" t="s">
        <v>22</v>
      </c>
    </row>
    <row r="5" spans="1:8" x14ac:dyDescent="0.35">
      <c r="A5" t="s">
        <v>70</v>
      </c>
      <c r="B5" s="4">
        <v>9.9400000000000002E-2</v>
      </c>
      <c r="C5">
        <v>0.2</v>
      </c>
      <c r="D5" t="s">
        <v>19</v>
      </c>
      <c r="E5" t="s">
        <v>23</v>
      </c>
      <c r="F5" s="4">
        <v>-9.3193717277486973E-2</v>
      </c>
      <c r="G5" s="4">
        <v>5.235602094240838E-3</v>
      </c>
      <c r="H5" t="s">
        <v>24</v>
      </c>
    </row>
    <row r="6" spans="1:8" x14ac:dyDescent="0.35">
      <c r="A6" t="s">
        <v>18</v>
      </c>
      <c r="B6" s="4">
        <v>9.7500000000000003E-2</v>
      </c>
      <c r="C6">
        <v>0.21</v>
      </c>
      <c r="D6" t="s">
        <v>19</v>
      </c>
      <c r="E6" t="s">
        <v>20</v>
      </c>
      <c r="F6" s="4">
        <v>-0.14040728831725621</v>
      </c>
      <c r="G6" s="4">
        <v>0</v>
      </c>
      <c r="H6" t="s">
        <v>21</v>
      </c>
    </row>
    <row r="7" spans="1:8" x14ac:dyDescent="0.35">
      <c r="A7" t="s">
        <v>30</v>
      </c>
      <c r="B7" s="4">
        <v>8.9499999999999996E-2</v>
      </c>
      <c r="C7">
        <v>0.44</v>
      </c>
      <c r="D7" t="s">
        <v>19</v>
      </c>
      <c r="E7" t="s">
        <v>23</v>
      </c>
      <c r="F7" s="4">
        <v>8.1967213114754092E-2</v>
      </c>
      <c r="G7" s="4">
        <v>0.13114754098360659</v>
      </c>
      <c r="H7" t="s">
        <v>24</v>
      </c>
    </row>
    <row r="8" spans="1:8" x14ac:dyDescent="0.35">
      <c r="A8" t="s">
        <v>31</v>
      </c>
      <c r="B8" s="4">
        <v>7.6700000000000004E-2</v>
      </c>
      <c r="C8">
        <v>0.35</v>
      </c>
      <c r="D8" t="s">
        <v>19</v>
      </c>
      <c r="E8" t="s">
        <v>32</v>
      </c>
      <c r="F8" s="4">
        <v>0.2057692307692309</v>
      </c>
      <c r="G8" s="4">
        <v>0.2057692307692309</v>
      </c>
      <c r="H8" t="s">
        <v>22</v>
      </c>
    </row>
    <row r="9" spans="1:8" x14ac:dyDescent="0.35">
      <c r="A9" t="s">
        <v>71</v>
      </c>
      <c r="B9" s="4">
        <v>7.1599999999999997E-2</v>
      </c>
      <c r="C9">
        <v>0.64</v>
      </c>
      <c r="D9" t="s">
        <v>19</v>
      </c>
      <c r="E9" t="s">
        <v>72</v>
      </c>
      <c r="F9" s="4">
        <v>0.21241379310344821</v>
      </c>
      <c r="G9" s="4">
        <v>0.21241379310344821</v>
      </c>
      <c r="H9" t="s">
        <v>22</v>
      </c>
    </row>
    <row r="10" spans="1:8" x14ac:dyDescent="0.35">
      <c r="A10" t="s">
        <v>29</v>
      </c>
      <c r="B10" s="4">
        <v>6.7500000000000004E-2</v>
      </c>
      <c r="C10">
        <v>0.1</v>
      </c>
      <c r="D10" t="s">
        <v>19</v>
      </c>
      <c r="E10" t="s">
        <v>23</v>
      </c>
      <c r="F10" s="4">
        <v>-6.0150375939849572E-2</v>
      </c>
      <c r="G10" s="4">
        <v>0</v>
      </c>
      <c r="H10" t="s">
        <v>24</v>
      </c>
    </row>
    <row r="11" spans="1:8" x14ac:dyDescent="0.35">
      <c r="A11" t="s">
        <v>74</v>
      </c>
      <c r="B11" s="4">
        <v>6.5000000000000002E-2</v>
      </c>
      <c r="C11">
        <v>0.55000000000000004</v>
      </c>
      <c r="D11" t="s">
        <v>19</v>
      </c>
      <c r="E11" t="s">
        <v>33</v>
      </c>
      <c r="F11" s="4">
        <v>-0.18026315789473679</v>
      </c>
      <c r="G11" s="4">
        <v>1.5131578947368531E-2</v>
      </c>
      <c r="H11" t="s">
        <v>21</v>
      </c>
    </row>
    <row r="12" spans="1:8" x14ac:dyDescent="0.35">
      <c r="A12" t="s">
        <v>34</v>
      </c>
      <c r="B12" s="4">
        <v>5.6599999999999998E-2</v>
      </c>
      <c r="C12">
        <v>0.04</v>
      </c>
      <c r="D12" t="s">
        <v>19</v>
      </c>
      <c r="E12" t="s">
        <v>73</v>
      </c>
      <c r="F12" s="4">
        <v>0.214864864864865</v>
      </c>
      <c r="G12" s="4">
        <v>0.214864864864865</v>
      </c>
      <c r="H12" t="s">
        <v>22</v>
      </c>
    </row>
    <row r="13" spans="1:8" x14ac:dyDescent="0.35">
      <c r="A13" s="12" t="s">
        <v>75</v>
      </c>
      <c r="B13" s="13">
        <v>4.9200000000000001E-2</v>
      </c>
      <c r="C13" s="12">
        <v>0.41</v>
      </c>
      <c r="D13" s="12" t="s">
        <v>19</v>
      </c>
      <c r="E13" s="12" t="s">
        <v>23</v>
      </c>
      <c r="F13" s="13">
        <v>-3.6111111111111122E-2</v>
      </c>
      <c r="G13" s="13">
        <v>0.18055555555555561</v>
      </c>
      <c r="H13" s="12" t="s">
        <v>24</v>
      </c>
    </row>
    <row r="14" spans="1:8" x14ac:dyDescent="0.35">
      <c r="A14" t="s">
        <v>68</v>
      </c>
      <c r="B14" s="4">
        <v>4.3799999999999999E-2</v>
      </c>
      <c r="C14">
        <v>0.05</v>
      </c>
      <c r="D14" t="s">
        <v>19</v>
      </c>
      <c r="E14" t="s">
        <v>69</v>
      </c>
      <c r="F14" s="4">
        <v>-0.10217881292261451</v>
      </c>
      <c r="G14" s="4">
        <v>2.9301277235161589E-2</v>
      </c>
      <c r="H14" t="s">
        <v>21</v>
      </c>
    </row>
    <row r="15" spans="1:8" x14ac:dyDescent="0.35">
      <c r="A15" s="17" t="s">
        <v>43</v>
      </c>
      <c r="B15" s="17"/>
      <c r="C15" s="17"/>
      <c r="D15" s="17"/>
      <c r="E15" s="17"/>
      <c r="F15" s="17"/>
      <c r="G15" s="17"/>
      <c r="H15" s="17"/>
    </row>
    <row r="16" spans="1:8" x14ac:dyDescent="0.35">
      <c r="A16" t="s">
        <v>41</v>
      </c>
      <c r="B16">
        <v>0.13139999999999999</v>
      </c>
      <c r="C16">
        <v>1</v>
      </c>
      <c r="D16" t="s">
        <v>79</v>
      </c>
      <c r="E16" t="s">
        <v>93</v>
      </c>
      <c r="F16" s="4">
        <v>0.31490787269681741</v>
      </c>
      <c r="G16" s="4">
        <v>0.31490787269681741</v>
      </c>
      <c r="H16" t="s">
        <v>22</v>
      </c>
    </row>
    <row r="17" spans="1:8" x14ac:dyDescent="0.35">
      <c r="A17" t="s">
        <v>88</v>
      </c>
      <c r="B17">
        <v>0.10440000000000001</v>
      </c>
      <c r="C17">
        <v>1</v>
      </c>
      <c r="D17" t="s">
        <v>79</v>
      </c>
      <c r="E17" t="s">
        <v>37</v>
      </c>
      <c r="F17" s="4">
        <v>0.1031876638020357</v>
      </c>
      <c r="G17" s="4">
        <v>0.13055586030352889</v>
      </c>
      <c r="H17" t="s">
        <v>24</v>
      </c>
    </row>
    <row r="18" spans="1:8" x14ac:dyDescent="0.35">
      <c r="A18" t="s">
        <v>39</v>
      </c>
      <c r="B18">
        <v>9.1200000000000003E-2</v>
      </c>
      <c r="C18">
        <v>1</v>
      </c>
      <c r="D18" t="s">
        <v>79</v>
      </c>
      <c r="E18" t="s">
        <v>87</v>
      </c>
      <c r="F18" s="4">
        <v>0.2570621468926555</v>
      </c>
      <c r="G18" s="4">
        <v>0.2570621468926555</v>
      </c>
      <c r="H18" t="s">
        <v>22</v>
      </c>
    </row>
    <row r="19" spans="1:8" x14ac:dyDescent="0.35">
      <c r="A19" t="s">
        <v>86</v>
      </c>
      <c r="B19">
        <v>7.51E-2</v>
      </c>
      <c r="C19">
        <v>1</v>
      </c>
      <c r="D19" t="s">
        <v>79</v>
      </c>
      <c r="E19" t="s">
        <v>37</v>
      </c>
      <c r="F19" s="4">
        <v>3.4013605442177312E-3</v>
      </c>
      <c r="G19" s="4">
        <v>6.8027210884353236E-3</v>
      </c>
      <c r="H19" t="s">
        <v>24</v>
      </c>
    </row>
    <row r="20" spans="1:8" x14ac:dyDescent="0.35">
      <c r="A20" t="s">
        <v>36</v>
      </c>
      <c r="B20">
        <v>7.2800000000000004E-2</v>
      </c>
      <c r="C20">
        <v>1</v>
      </c>
      <c r="D20" t="s">
        <v>79</v>
      </c>
      <c r="E20" t="s">
        <v>37</v>
      </c>
      <c r="F20" s="4">
        <v>-3.8647323800962502E-2</v>
      </c>
      <c r="G20" s="4">
        <v>2.8985492850721831E-2</v>
      </c>
      <c r="H20" t="s">
        <v>24</v>
      </c>
    </row>
    <row r="21" spans="1:8" x14ac:dyDescent="0.35">
      <c r="A21" t="s">
        <v>90</v>
      </c>
      <c r="B21">
        <v>6.3100000000000003E-2</v>
      </c>
      <c r="C21">
        <v>1</v>
      </c>
      <c r="D21" t="s">
        <v>79</v>
      </c>
      <c r="E21" t="s">
        <v>89</v>
      </c>
      <c r="F21" s="4">
        <v>-0.201858108108108</v>
      </c>
      <c r="G21" s="4">
        <v>0</v>
      </c>
      <c r="H21" t="s">
        <v>21</v>
      </c>
    </row>
    <row r="22" spans="1:8" x14ac:dyDescent="0.35">
      <c r="A22" t="s">
        <v>30</v>
      </c>
      <c r="B22">
        <v>5.74E-2</v>
      </c>
      <c r="C22">
        <v>1</v>
      </c>
      <c r="D22" t="s">
        <v>19</v>
      </c>
      <c r="E22" t="s">
        <v>37</v>
      </c>
      <c r="F22" s="4">
        <v>-5.737704918032787E-2</v>
      </c>
      <c r="G22" s="4">
        <v>0.13114754098360659</v>
      </c>
      <c r="H22" t="s">
        <v>24</v>
      </c>
    </row>
    <row r="23" spans="1:8" x14ac:dyDescent="0.35">
      <c r="A23" t="s">
        <v>91</v>
      </c>
      <c r="B23">
        <v>5.3499999999999999E-2</v>
      </c>
      <c r="C23">
        <v>1</v>
      </c>
      <c r="D23" t="s">
        <v>79</v>
      </c>
      <c r="E23" t="s">
        <v>92</v>
      </c>
      <c r="F23" s="4">
        <v>-0.1954887218045113</v>
      </c>
      <c r="G23" s="4">
        <v>0</v>
      </c>
      <c r="H23" t="s">
        <v>21</v>
      </c>
    </row>
    <row r="24" spans="1:8" x14ac:dyDescent="0.35">
      <c r="A24" t="s">
        <v>38</v>
      </c>
      <c r="B24">
        <v>5.1999999999999998E-2</v>
      </c>
      <c r="C24">
        <v>1</v>
      </c>
      <c r="D24" t="s">
        <v>79</v>
      </c>
      <c r="E24" t="s">
        <v>37</v>
      </c>
      <c r="F24" s="4">
        <v>2.0609185007963111E-2</v>
      </c>
      <c r="G24" s="4">
        <v>0.10830324909747301</v>
      </c>
      <c r="H24" t="s">
        <v>24</v>
      </c>
    </row>
    <row r="25" spans="1:8" x14ac:dyDescent="0.35">
      <c r="A25" t="s">
        <v>54</v>
      </c>
      <c r="B25">
        <v>4.6699999999999998E-2</v>
      </c>
      <c r="C25">
        <v>1</v>
      </c>
      <c r="D25" t="s">
        <v>79</v>
      </c>
      <c r="E25" t="s">
        <v>92</v>
      </c>
      <c r="F25" s="4">
        <v>-0.15563506261180679</v>
      </c>
      <c r="G25" s="4">
        <v>0</v>
      </c>
      <c r="H25" t="s">
        <v>21</v>
      </c>
    </row>
    <row r="26" spans="1:8" x14ac:dyDescent="0.35">
      <c r="A26" t="s">
        <v>78</v>
      </c>
      <c r="B26">
        <v>4.4400000000000002E-2</v>
      </c>
      <c r="C26">
        <v>1</v>
      </c>
      <c r="D26" t="s">
        <v>79</v>
      </c>
      <c r="E26" t="s">
        <v>92</v>
      </c>
      <c r="F26" s="4">
        <v>-0.16513761467889901</v>
      </c>
      <c r="G26" s="4">
        <v>0</v>
      </c>
      <c r="H26" t="s">
        <v>21</v>
      </c>
    </row>
    <row r="27" spans="1:8" x14ac:dyDescent="0.35">
      <c r="A27" t="s">
        <v>31</v>
      </c>
      <c r="B27">
        <v>4.4200000000000003E-2</v>
      </c>
      <c r="C27">
        <v>1</v>
      </c>
      <c r="D27" t="s">
        <v>79</v>
      </c>
      <c r="E27" t="s">
        <v>89</v>
      </c>
      <c r="F27" s="4">
        <v>-0.19924337957124841</v>
      </c>
      <c r="G27" s="4">
        <v>0</v>
      </c>
      <c r="H27" t="s">
        <v>21</v>
      </c>
    </row>
    <row r="28" spans="1:8" x14ac:dyDescent="0.35">
      <c r="A28" t="s">
        <v>77</v>
      </c>
      <c r="B28">
        <v>4.3200000000000002E-2</v>
      </c>
      <c r="C28">
        <v>1</v>
      </c>
      <c r="D28" t="s">
        <v>79</v>
      </c>
      <c r="E28" t="s">
        <v>89</v>
      </c>
      <c r="F28" s="4">
        <v>-0.15040650406504069</v>
      </c>
      <c r="G28" s="4">
        <v>0</v>
      </c>
      <c r="H28" t="s">
        <v>21</v>
      </c>
    </row>
    <row r="29" spans="1:8" x14ac:dyDescent="0.35">
      <c r="A29" t="s">
        <v>76</v>
      </c>
      <c r="B29">
        <v>4.2999999999999997E-2</v>
      </c>
      <c r="C29">
        <v>1</v>
      </c>
      <c r="D29" t="s">
        <v>79</v>
      </c>
      <c r="E29" t="s">
        <v>37</v>
      </c>
      <c r="F29" s="4">
        <v>-9.1993185689948895E-2</v>
      </c>
      <c r="G29" s="4">
        <v>8.5178875638841564E-3</v>
      </c>
      <c r="H29" t="s">
        <v>24</v>
      </c>
    </row>
    <row r="30" spans="1:8" x14ac:dyDescent="0.35">
      <c r="A30" t="s">
        <v>29</v>
      </c>
      <c r="B30">
        <v>4.1500000000000002E-2</v>
      </c>
      <c r="C30">
        <v>1</v>
      </c>
      <c r="D30" t="s">
        <v>19</v>
      </c>
      <c r="E30" t="s">
        <v>37</v>
      </c>
      <c r="F30" s="4">
        <v>7.1909712720076527E-2</v>
      </c>
      <c r="G30" s="4">
        <v>9.6271297100078257E-2</v>
      </c>
      <c r="H30" t="s">
        <v>24</v>
      </c>
    </row>
    <row r="31" spans="1:8" x14ac:dyDescent="0.35">
      <c r="A31" t="s">
        <v>75</v>
      </c>
      <c r="B31">
        <v>3.61E-2</v>
      </c>
      <c r="C31">
        <v>1</v>
      </c>
      <c r="D31" t="s">
        <v>19</v>
      </c>
      <c r="E31" t="s">
        <v>94</v>
      </c>
      <c r="F31" s="4">
        <v>-0.19236111111111109</v>
      </c>
      <c r="G31" s="4">
        <v>0.18055555555555561</v>
      </c>
      <c r="H31" t="s">
        <v>21</v>
      </c>
    </row>
    <row r="32" spans="1:8" x14ac:dyDescent="0.35">
      <c r="A32" s="17" t="s">
        <v>46</v>
      </c>
      <c r="B32" s="17"/>
      <c r="C32" s="17"/>
      <c r="D32" s="17"/>
      <c r="E32" s="17"/>
      <c r="F32" s="17"/>
      <c r="G32" s="17"/>
      <c r="H32" s="17"/>
    </row>
    <row r="33" spans="1:8" x14ac:dyDescent="0.35">
      <c r="A33" s="18" t="s">
        <v>29</v>
      </c>
      <c r="B33" s="19">
        <v>0.124</v>
      </c>
      <c r="C33" s="12">
        <v>1</v>
      </c>
      <c r="D33" s="18" t="s">
        <v>19</v>
      </c>
      <c r="E33" s="18" t="s">
        <v>48</v>
      </c>
      <c r="F33" s="19">
        <v>0.1043918252267455</v>
      </c>
      <c r="G33" s="19">
        <v>0.16935605024008349</v>
      </c>
      <c r="H33" s="18" t="s">
        <v>24</v>
      </c>
    </row>
    <row r="34" spans="1:8" x14ac:dyDescent="0.35">
      <c r="A34" s="18" t="s">
        <v>36</v>
      </c>
      <c r="B34" s="19">
        <v>0.12039999999999999</v>
      </c>
      <c r="C34" s="12">
        <v>1</v>
      </c>
      <c r="D34" s="18" t="s">
        <v>79</v>
      </c>
      <c r="E34" s="18" t="s">
        <v>48</v>
      </c>
      <c r="F34" s="19">
        <v>7.729464760192499E-2</v>
      </c>
      <c r="G34" s="19">
        <v>0.17391295710433119</v>
      </c>
      <c r="H34" s="18" t="s">
        <v>24</v>
      </c>
    </row>
    <row r="35" spans="1:8" x14ac:dyDescent="0.35">
      <c r="A35" s="18" t="s">
        <v>50</v>
      </c>
      <c r="B35" s="19">
        <v>9.4100000000000003E-2</v>
      </c>
      <c r="C35" s="12">
        <v>1</v>
      </c>
      <c r="D35" s="18" t="s">
        <v>47</v>
      </c>
      <c r="E35" s="18" t="s">
        <v>96</v>
      </c>
      <c r="F35" s="19">
        <v>0.28378378378378383</v>
      </c>
      <c r="G35" s="19">
        <v>0.28378378378378383</v>
      </c>
      <c r="H35" s="18" t="s">
        <v>22</v>
      </c>
    </row>
    <row r="36" spans="1:8" x14ac:dyDescent="0.35">
      <c r="A36" s="18" t="s">
        <v>54</v>
      </c>
      <c r="B36" s="19">
        <v>8.5999999999999993E-2</v>
      </c>
      <c r="C36" s="12">
        <v>1</v>
      </c>
      <c r="D36" s="18" t="s">
        <v>47</v>
      </c>
      <c r="E36" s="18" t="s">
        <v>48</v>
      </c>
      <c r="F36" s="19">
        <v>0.12942999145392989</v>
      </c>
      <c r="G36" s="21">
        <v>0.20784883720930231</v>
      </c>
      <c r="H36" s="18" t="s">
        <v>24</v>
      </c>
    </row>
    <row r="37" spans="1:8" x14ac:dyDescent="0.35">
      <c r="A37" s="18" t="s">
        <v>40</v>
      </c>
      <c r="B37" s="19">
        <v>8.4199999999999997E-2</v>
      </c>
      <c r="C37" s="12">
        <v>1</v>
      </c>
      <c r="D37" s="18" t="s">
        <v>47</v>
      </c>
      <c r="E37" s="18" t="s">
        <v>97</v>
      </c>
      <c r="F37" s="19">
        <v>0.25819134993446918</v>
      </c>
      <c r="G37" s="19">
        <v>0.25819134993446918</v>
      </c>
      <c r="H37" s="18" t="s">
        <v>22</v>
      </c>
    </row>
    <row r="38" spans="1:8" x14ac:dyDescent="0.35">
      <c r="A38" s="18" t="s">
        <v>41</v>
      </c>
      <c r="B38" s="19">
        <v>7.4800000000000005E-2</v>
      </c>
      <c r="C38" s="12">
        <v>1</v>
      </c>
      <c r="D38" s="18" t="s">
        <v>47</v>
      </c>
      <c r="E38" s="18" t="s">
        <v>95</v>
      </c>
      <c r="F38" s="19">
        <v>0.27615062761506282</v>
      </c>
      <c r="G38" s="19">
        <v>0.27615062761506282</v>
      </c>
      <c r="H38" s="18" t="s">
        <v>22</v>
      </c>
    </row>
    <row r="39" spans="1:8" x14ac:dyDescent="0.35">
      <c r="A39" s="20" t="s">
        <v>51</v>
      </c>
      <c r="B39" s="19">
        <v>5.8299999999999998E-2</v>
      </c>
      <c r="C39" s="12">
        <v>1</v>
      </c>
      <c r="D39" s="18" t="s">
        <v>47</v>
      </c>
      <c r="E39" s="18" t="s">
        <v>48</v>
      </c>
      <c r="F39" s="19">
        <v>6.6006600660066007E-3</v>
      </c>
      <c r="G39" s="21">
        <v>0.24752475247524749</v>
      </c>
      <c r="H39" s="18" t="s">
        <v>24</v>
      </c>
    </row>
    <row r="40" spans="1:8" x14ac:dyDescent="0.35">
      <c r="A40" s="18" t="s">
        <v>80</v>
      </c>
      <c r="B40" s="19">
        <v>5.5899999999999998E-2</v>
      </c>
      <c r="C40" s="12">
        <v>1</v>
      </c>
      <c r="D40" s="18" t="s">
        <v>47</v>
      </c>
      <c r="E40" s="18" t="s">
        <v>81</v>
      </c>
      <c r="F40" s="19">
        <v>0.27702702702702697</v>
      </c>
      <c r="G40" s="19">
        <v>0.27702702702702697</v>
      </c>
      <c r="H40" s="18" t="s">
        <v>22</v>
      </c>
    </row>
    <row r="41" spans="1:8" x14ac:dyDescent="0.35">
      <c r="A41" s="18" t="s">
        <v>52</v>
      </c>
      <c r="B41" s="19">
        <v>5.2400000000000002E-2</v>
      </c>
      <c r="C41" s="12">
        <v>1</v>
      </c>
      <c r="D41" s="18" t="s">
        <v>47</v>
      </c>
      <c r="E41" s="18" t="s">
        <v>49</v>
      </c>
      <c r="F41" s="19">
        <v>0.26190476190476192</v>
      </c>
      <c r="G41" s="19">
        <v>0.26190476190476192</v>
      </c>
      <c r="H41" s="18" t="s">
        <v>22</v>
      </c>
    </row>
    <row r="42" spans="1:8" x14ac:dyDescent="0.35">
      <c r="A42" s="18" t="s">
        <v>88</v>
      </c>
      <c r="B42" s="19">
        <v>5.1200000000000002E-2</v>
      </c>
      <c r="C42" s="12">
        <v>1</v>
      </c>
      <c r="D42" s="18" t="s">
        <v>79</v>
      </c>
      <c r="E42" s="18" t="s">
        <v>97</v>
      </c>
      <c r="F42" s="19">
        <v>0.31346376546595972</v>
      </c>
      <c r="G42" s="19">
        <v>0.31346376546595972</v>
      </c>
      <c r="H42" s="18" t="s">
        <v>22</v>
      </c>
    </row>
    <row r="43" spans="1:8" x14ac:dyDescent="0.35">
      <c r="A43" s="18" t="s">
        <v>86</v>
      </c>
      <c r="B43" s="19">
        <v>5.0599999999999999E-2</v>
      </c>
      <c r="C43" s="12">
        <v>1</v>
      </c>
      <c r="D43" s="18" t="s">
        <v>79</v>
      </c>
      <c r="E43" s="18" t="s">
        <v>48</v>
      </c>
      <c r="F43" s="19">
        <v>7.2876765507808111E-2</v>
      </c>
      <c r="G43" s="19">
        <v>0.108843537414966</v>
      </c>
      <c r="H43" s="18" t="s">
        <v>24</v>
      </c>
    </row>
    <row r="44" spans="1:8" x14ac:dyDescent="0.35">
      <c r="A44" s="18" t="s">
        <v>42</v>
      </c>
      <c r="B44" s="19">
        <v>4.9200000000000001E-2</v>
      </c>
      <c r="C44" s="12">
        <v>1</v>
      </c>
      <c r="D44" s="18" t="s">
        <v>47</v>
      </c>
      <c r="E44" s="18" t="s">
        <v>82</v>
      </c>
      <c r="F44" s="19">
        <v>0.25892857142857151</v>
      </c>
      <c r="G44" s="19">
        <v>0.25892857142857151</v>
      </c>
      <c r="H44" s="18" t="s">
        <v>22</v>
      </c>
    </row>
    <row r="45" spans="1:8" x14ac:dyDescent="0.35">
      <c r="A45" s="18" t="s">
        <v>53</v>
      </c>
      <c r="B45" s="19">
        <v>4.36E-2</v>
      </c>
      <c r="C45" s="12">
        <v>1</v>
      </c>
      <c r="D45" s="18" t="s">
        <v>47</v>
      </c>
      <c r="E45" s="18" t="s">
        <v>48</v>
      </c>
      <c r="F45" s="19">
        <v>0.2119275825346113</v>
      </c>
      <c r="G45" s="19">
        <v>0.2310969116080937</v>
      </c>
      <c r="H45" s="18" t="s">
        <v>24</v>
      </c>
    </row>
    <row r="46" spans="1:8" x14ac:dyDescent="0.35">
      <c r="A46" s="18" t="s">
        <v>38</v>
      </c>
      <c r="B46" s="19">
        <v>2.98E-2</v>
      </c>
      <c r="C46" s="12">
        <v>1</v>
      </c>
      <c r="D46" s="18" t="s">
        <v>79</v>
      </c>
      <c r="E46" s="18" t="s">
        <v>48</v>
      </c>
      <c r="F46" s="19">
        <v>8.8847589819542036E-2</v>
      </c>
      <c r="G46" s="21">
        <v>0.1704369868768647</v>
      </c>
      <c r="H46" s="18" t="s">
        <v>24</v>
      </c>
    </row>
    <row r="47" spans="1:8" x14ac:dyDescent="0.35">
      <c r="A47" s="20" t="s">
        <v>76</v>
      </c>
      <c r="B47" s="19">
        <v>2.5499999999999998E-2</v>
      </c>
      <c r="C47" s="12">
        <v>1</v>
      </c>
      <c r="D47" s="18" t="s">
        <v>79</v>
      </c>
      <c r="E47" s="18" t="s">
        <v>48</v>
      </c>
      <c r="F47" s="19">
        <v>-8.8586030664395229E-2</v>
      </c>
      <c r="G47" s="19">
        <v>8.5178875638841564E-3</v>
      </c>
      <c r="H47" s="18" t="s">
        <v>24</v>
      </c>
    </row>
    <row r="48" spans="1:8" x14ac:dyDescent="0.35">
      <c r="A48" s="17" t="s">
        <v>67</v>
      </c>
      <c r="B48" s="17"/>
      <c r="C48" s="17"/>
      <c r="D48" s="17"/>
      <c r="E48" s="17"/>
      <c r="F48" s="17"/>
      <c r="G48" s="17"/>
      <c r="H48" s="17"/>
    </row>
    <row r="49" spans="1:8" x14ac:dyDescent="0.35">
      <c r="A49" t="s">
        <v>61</v>
      </c>
      <c r="B49" s="4">
        <v>0.1108</v>
      </c>
      <c r="C49">
        <v>1</v>
      </c>
      <c r="D49" t="s">
        <v>57</v>
      </c>
      <c r="E49" t="s">
        <v>100</v>
      </c>
      <c r="F49" s="4">
        <v>0.25626204238921002</v>
      </c>
      <c r="G49" s="4">
        <v>0.25626204238921002</v>
      </c>
      <c r="H49" t="s">
        <v>22</v>
      </c>
    </row>
    <row r="50" spans="1:8" x14ac:dyDescent="0.35">
      <c r="A50" t="s">
        <v>41</v>
      </c>
      <c r="B50" s="4">
        <v>0.1007</v>
      </c>
      <c r="C50">
        <v>1</v>
      </c>
      <c r="D50" t="s">
        <v>57</v>
      </c>
      <c r="E50" t="s">
        <v>66</v>
      </c>
      <c r="F50" s="4">
        <v>0.25352941176470589</v>
      </c>
      <c r="G50" s="4">
        <v>0.25352941176470589</v>
      </c>
      <c r="H50" t="s">
        <v>22</v>
      </c>
    </row>
    <row r="51" spans="1:8" x14ac:dyDescent="0.35">
      <c r="A51" t="s">
        <v>29</v>
      </c>
      <c r="B51" s="4">
        <v>0.10050000000000001</v>
      </c>
      <c r="C51">
        <v>1</v>
      </c>
      <c r="D51" t="s">
        <v>19</v>
      </c>
      <c r="E51" t="s">
        <v>101</v>
      </c>
      <c r="F51" s="4">
        <v>0.25056133150675591</v>
      </c>
      <c r="G51" s="4">
        <v>0.25056133150675591</v>
      </c>
      <c r="H51" t="s">
        <v>22</v>
      </c>
    </row>
    <row r="52" spans="1:8" x14ac:dyDescent="0.35">
      <c r="A52" t="s">
        <v>52</v>
      </c>
      <c r="B52" s="4">
        <v>9.8000000000000004E-2</v>
      </c>
      <c r="C52">
        <v>1</v>
      </c>
      <c r="D52" t="s">
        <v>57</v>
      </c>
      <c r="E52" t="s">
        <v>62</v>
      </c>
      <c r="F52" s="4">
        <v>0.25365853658536591</v>
      </c>
      <c r="G52" s="4">
        <v>0.25365853658536591</v>
      </c>
      <c r="H52" t="s">
        <v>22</v>
      </c>
    </row>
    <row r="53" spans="1:8" x14ac:dyDescent="0.35">
      <c r="A53" t="s">
        <v>60</v>
      </c>
      <c r="B53" s="4">
        <v>8.0299999999999996E-2</v>
      </c>
      <c r="C53">
        <v>1</v>
      </c>
      <c r="D53" t="s">
        <v>57</v>
      </c>
      <c r="E53" t="s">
        <v>58</v>
      </c>
      <c r="F53" s="4">
        <v>0.26390756256342429</v>
      </c>
      <c r="G53" s="4">
        <v>0.26390756256342429</v>
      </c>
      <c r="H53" t="s">
        <v>22</v>
      </c>
    </row>
    <row r="54" spans="1:8" x14ac:dyDescent="0.35">
      <c r="A54" t="s">
        <v>36</v>
      </c>
      <c r="B54" s="4">
        <v>7.9200000000000007E-2</v>
      </c>
      <c r="C54">
        <v>1</v>
      </c>
      <c r="D54" t="s">
        <v>79</v>
      </c>
      <c r="E54" t="s">
        <v>58</v>
      </c>
      <c r="F54" s="4">
        <v>8.269720733651513E-2</v>
      </c>
      <c r="G54" s="4">
        <v>0.1075297120919398</v>
      </c>
      <c r="H54" t="s">
        <v>24</v>
      </c>
    </row>
    <row r="55" spans="1:8" x14ac:dyDescent="0.35">
      <c r="A55" t="s">
        <v>65</v>
      </c>
      <c r="B55" s="4">
        <v>6.93E-2</v>
      </c>
      <c r="C55">
        <v>1</v>
      </c>
      <c r="D55" t="s">
        <v>57</v>
      </c>
      <c r="E55" t="s">
        <v>102</v>
      </c>
      <c r="F55" s="4">
        <v>0.2971342383107089</v>
      </c>
      <c r="G55" s="4">
        <v>0.2971342383107089</v>
      </c>
      <c r="H55" t="s">
        <v>22</v>
      </c>
    </row>
    <row r="56" spans="1:8" x14ac:dyDescent="0.35">
      <c r="A56" s="12" t="s">
        <v>86</v>
      </c>
      <c r="B56" s="13">
        <v>5.74E-2</v>
      </c>
      <c r="C56" s="12">
        <v>1</v>
      </c>
      <c r="D56" s="12" t="s">
        <v>79</v>
      </c>
      <c r="E56" s="12" t="s">
        <v>58</v>
      </c>
      <c r="F56" s="13">
        <v>6.5294597553689326E-2</v>
      </c>
      <c r="G56" s="13">
        <v>8.4250017438986288E-2</v>
      </c>
      <c r="H56" s="12" t="s">
        <v>24</v>
      </c>
    </row>
    <row r="57" spans="1:8" x14ac:dyDescent="0.35">
      <c r="A57" t="s">
        <v>63</v>
      </c>
      <c r="B57" s="4">
        <v>5.2600000000000001E-2</v>
      </c>
      <c r="C57">
        <v>1</v>
      </c>
      <c r="D57" t="s">
        <v>57</v>
      </c>
      <c r="E57" t="s">
        <v>64</v>
      </c>
      <c r="F57" s="4">
        <v>-0.1054054054054054</v>
      </c>
      <c r="G57" s="4">
        <v>7.0270270270270371E-2</v>
      </c>
      <c r="H57" t="s">
        <v>21</v>
      </c>
    </row>
    <row r="58" spans="1:8" x14ac:dyDescent="0.35">
      <c r="A58" t="s">
        <v>59</v>
      </c>
      <c r="B58" s="4">
        <v>5.1299999999999998E-2</v>
      </c>
      <c r="C58">
        <v>1</v>
      </c>
      <c r="D58" t="s">
        <v>57</v>
      </c>
      <c r="E58" t="s">
        <v>99</v>
      </c>
      <c r="F58" s="4">
        <v>0.33055555555555549</v>
      </c>
      <c r="G58" s="4">
        <v>0.33055555555555549</v>
      </c>
      <c r="H58" t="s">
        <v>22</v>
      </c>
    </row>
    <row r="59" spans="1:8" x14ac:dyDescent="0.35">
      <c r="A59" t="s">
        <v>83</v>
      </c>
      <c r="B59" s="4">
        <v>4.7800000000000002E-2</v>
      </c>
      <c r="C59">
        <v>1</v>
      </c>
      <c r="D59" t="s">
        <v>57</v>
      </c>
      <c r="E59" t="s">
        <v>84</v>
      </c>
      <c r="F59" s="4">
        <v>-0.13357400722021659</v>
      </c>
      <c r="G59" s="4">
        <v>1.805054151624549E-3</v>
      </c>
      <c r="H59" t="s">
        <v>21</v>
      </c>
    </row>
    <row r="60" spans="1:8" x14ac:dyDescent="0.35">
      <c r="A60" t="s">
        <v>98</v>
      </c>
      <c r="B60" s="4">
        <v>4.5199999999999997E-2</v>
      </c>
      <c r="C60">
        <v>1</v>
      </c>
      <c r="D60" t="s">
        <v>57</v>
      </c>
      <c r="E60" t="s">
        <v>58</v>
      </c>
      <c r="F60" s="4">
        <v>0.10803059273422561</v>
      </c>
      <c r="G60" s="4">
        <v>0.1281070745697897</v>
      </c>
      <c r="H60" t="s">
        <v>24</v>
      </c>
    </row>
    <row r="61" spans="1:8" x14ac:dyDescent="0.35">
      <c r="A61" t="s">
        <v>50</v>
      </c>
      <c r="B61" s="4">
        <v>4.1700000000000001E-2</v>
      </c>
      <c r="C61">
        <v>1</v>
      </c>
      <c r="D61" t="s">
        <v>57</v>
      </c>
      <c r="E61" t="s">
        <v>85</v>
      </c>
      <c r="F61" s="4">
        <v>-0.14285714285714279</v>
      </c>
      <c r="G61" s="21">
        <v>0.16785714285714279</v>
      </c>
      <c r="H61" t="s">
        <v>21</v>
      </c>
    </row>
    <row r="62" spans="1:8" x14ac:dyDescent="0.35">
      <c r="A62" t="s">
        <v>53</v>
      </c>
      <c r="B62" s="4">
        <v>3.6700000000000003E-2</v>
      </c>
      <c r="C62">
        <v>1</v>
      </c>
      <c r="D62" t="s">
        <v>47</v>
      </c>
      <c r="E62" t="s">
        <v>57</v>
      </c>
      <c r="F62" s="4">
        <v>0.27369542066027691</v>
      </c>
      <c r="G62" s="4">
        <v>0.27369542066027691</v>
      </c>
      <c r="H62" t="s">
        <v>22</v>
      </c>
    </row>
  </sheetData>
  <sortState xmlns:xlrd2="http://schemas.microsoft.com/office/spreadsheetml/2017/richdata2" ref="A49:H63">
    <sortCondition descending="1" ref="B49:B63"/>
  </sortState>
  <mergeCells count="4">
    <mergeCell ref="A2:H2"/>
    <mergeCell ref="A15:H15"/>
    <mergeCell ref="A32:H32"/>
    <mergeCell ref="A48:H48"/>
  </mergeCells>
  <conditionalFormatting sqref="F1:F1048576">
    <cfRule type="cellIs" dxfId="3" priority="2" operator="lessThan">
      <formula>0</formula>
    </cfRule>
  </conditionalFormatting>
  <conditionalFormatting sqref="H1 H3:H14 H16:H31 H33:H47 H49:H1048576">
    <cfRule type="cellIs" dxfId="2" priority="4" operator="equal">
      <formula>"Keep Position"</formula>
    </cfRule>
  </conditionalFormatting>
  <conditionalFormatting sqref="H1:H1048576">
    <cfRule type="cellIs" dxfId="1" priority="1" operator="equal">
      <formula>"Take Profit"</formula>
    </cfRule>
    <cfRule type="cellIs" dxfId="0" priority="3" operator="equal">
      <formula>"Stop Loss"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Daily_Returns</vt:lpstr>
      <vt:lpstr>Trades_Log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</cp:lastModifiedBy>
  <dcterms:created xsi:type="dcterms:W3CDTF">2026-02-27T07:43:10Z</dcterms:created>
  <dcterms:modified xsi:type="dcterms:W3CDTF">2026-03-09T09:53:13Z</dcterms:modified>
</cp:coreProperties>
</file>